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drawings/drawing1.xml" ContentType="application/vnd.openxmlformats-officedocument.drawing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drawings/drawing2.xml" ContentType="application/vnd.openxmlformats-officedocument.drawing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Clientes\RH\"/>
    </mc:Choice>
  </mc:AlternateContent>
  <xr:revisionPtr revIDLastSave="0" documentId="13_ncr:1_{1B83A862-F962-4E80-86BB-7AA25B201BAD}" xr6:coauthVersionLast="47" xr6:coauthVersionMax="47" xr10:uidLastSave="{00000000-0000-0000-0000-000000000000}"/>
  <bookViews>
    <workbookView xWindow="-120" yWindow="-120" windowWidth="29040" windowHeight="15840" firstSheet="9" activeTab="16" xr2:uid="{00000000-000D-0000-FFFF-FFFF00000000}"/>
  </bookViews>
  <sheets>
    <sheet name="Registro do cartão de crédito" sheetId="1" r:id="rId1"/>
    <sheet name="Registro do cartão de crédi (2)" sheetId="2" r:id="rId2"/>
    <sheet name="2020" sheetId="3" r:id="rId3"/>
    <sheet name="2021" sheetId="4" r:id="rId4"/>
    <sheet name="2022" sheetId="5" r:id="rId5"/>
    <sheet name="2020 - DECIMO TERCEIRO" sheetId="6" r:id="rId6"/>
    <sheet name="2021 - DECIMO TERCEIRO " sheetId="7" r:id="rId7"/>
    <sheet name="CRONOGRAMA FÉRIAS" sheetId="8" r:id="rId8"/>
    <sheet name="COLABORADORES (2)" sheetId="9" r:id="rId9"/>
    <sheet name="RESCISÃO (2)" sheetId="10" r:id="rId10"/>
    <sheet name="SETEMBRO" sheetId="11" r:id="rId11"/>
    <sheet name="SETEMBRO (2)" sheetId="12" r:id="rId12"/>
    <sheet name="FEVEREIRO 2026" sheetId="13" r:id="rId13"/>
    <sheet name="MARÇO 2026" sheetId="15" r:id="rId14"/>
    <sheet name="ABRIL 2026" sheetId="14" r:id="rId15"/>
    <sheet name="MAIO 2026" sheetId="16" r:id="rId16"/>
    <sheet name="JUNHO 2026" sheetId="17" r:id="rId17"/>
  </sheets>
  <definedNames>
    <definedName name="Print_Titles" localSheetId="2">'2020'!$3:$3</definedName>
    <definedName name="Print_Titles" localSheetId="5">'2020 - DECIMO TERCEIRO'!$3:$3</definedName>
    <definedName name="Print_Titles" localSheetId="3">'2021'!$3:$3</definedName>
    <definedName name="Print_Titles" localSheetId="6">'2021 - DECIMO TERCEIRO '!$3:$3</definedName>
    <definedName name="Print_Titles" localSheetId="4">'2022'!$3:$3</definedName>
    <definedName name="Print_Titles" localSheetId="7">'CRONOGRAMA FÉRIAS'!$3:$3</definedName>
    <definedName name="Print_Titles" localSheetId="1">'Registro do cartão de crédi (2)'!$42:$42</definedName>
    <definedName name="Print_Titles" localSheetId="0">'Registro do cartão de crédito'!$3:$3</definedName>
    <definedName name="TítuloDaColuna1" localSheetId="2">Dados14[[#Headers],[Funcionários]]</definedName>
    <definedName name="TítuloDaColuna1" localSheetId="5">Dados1437[[#Headers],[Funcionários]]</definedName>
    <definedName name="TítuloDaColuna1" localSheetId="3">Dados1415[[#Headers],[Funcionários]]</definedName>
    <definedName name="TítuloDaColuna1" localSheetId="6">Dados1437[[#Headers],[Funcionários]]</definedName>
    <definedName name="TítuloDaColuna1" localSheetId="4">Dados1415[[#Headers],[Funcionários]]</definedName>
    <definedName name="TítuloDaColuna1" localSheetId="8">#REF!</definedName>
    <definedName name="TítuloDaColuna1" localSheetId="7">Dados1415[[#Headers],[Funcionários]]</definedName>
    <definedName name="TítuloDaColuna1" localSheetId="16">Dados[[#Headers],[Funcionários]]</definedName>
    <definedName name="TítuloDaColuna1" localSheetId="15">Dados[[#Headers],[Funcionários]]</definedName>
    <definedName name="TítuloDaColuna1" localSheetId="1">Dados13[[#Headers],[Descrição]]</definedName>
    <definedName name="TítuloDaColuna1" localSheetId="9">#REF!</definedName>
    <definedName name="TítuloDaColuna1" localSheetId="10">#REF!</definedName>
    <definedName name="TítuloDaColuna1" localSheetId="11">#REF!</definedName>
    <definedName name="TítuloDaColuna1">Dados[[#Headers],[Funcionários]]</definedName>
  </definedNames>
  <calcPr calcId="191029"/>
</workbook>
</file>

<file path=xl/calcChain.xml><?xml version="1.0" encoding="utf-8"?>
<calcChain xmlns="http://schemas.openxmlformats.org/spreadsheetml/2006/main">
  <c r="M129" i="17" l="1"/>
  <c r="M98" i="17"/>
  <c r="M73" i="17"/>
  <c r="M16" i="17"/>
  <c r="F130" i="17"/>
  <c r="F98" i="17"/>
  <c r="P85" i="17"/>
  <c r="F73" i="17"/>
  <c r="F43" i="17"/>
  <c r="M42" i="17"/>
  <c r="F16" i="17"/>
  <c r="M73" i="16"/>
  <c r="M98" i="16"/>
  <c r="M16" i="16"/>
  <c r="F16" i="16"/>
  <c r="M128" i="16"/>
  <c r="F98" i="16"/>
  <c r="F129" i="16"/>
  <c r="P85" i="16"/>
  <c r="F73" i="16"/>
  <c r="M42" i="16"/>
  <c r="F43" i="16"/>
  <c r="M125" i="15"/>
  <c r="F125" i="15"/>
  <c r="M94" i="15"/>
  <c r="F94" i="15"/>
  <c r="P85" i="15"/>
  <c r="M71" i="15"/>
  <c r="F71" i="15"/>
  <c r="M42" i="15"/>
  <c r="F42" i="15"/>
  <c r="M15" i="15"/>
  <c r="F15" i="15"/>
  <c r="M127" i="14"/>
  <c r="F127" i="14"/>
  <c r="M96" i="14"/>
  <c r="F96" i="14"/>
  <c r="P85" i="14"/>
  <c r="M72" i="14"/>
  <c r="F72" i="14"/>
  <c r="M42" i="14"/>
  <c r="F42" i="14"/>
  <c r="M15" i="14"/>
  <c r="F15" i="14"/>
  <c r="M125" i="13"/>
  <c r="F125" i="13"/>
  <c r="M94" i="13"/>
  <c r="F94" i="13"/>
  <c r="P85" i="13"/>
  <c r="M71" i="13"/>
  <c r="F71" i="13"/>
  <c r="M42" i="13"/>
  <c r="F42" i="13"/>
  <c r="M15" i="13"/>
  <c r="F15" i="13"/>
  <c r="M148" i="12"/>
  <c r="F148" i="12"/>
  <c r="M121" i="12"/>
  <c r="F121" i="12"/>
  <c r="F90" i="12"/>
  <c r="M86" i="12"/>
  <c r="M90" i="12" s="1"/>
  <c r="F86" i="12"/>
  <c r="M63" i="12"/>
  <c r="M67" i="12" s="1"/>
  <c r="M62" i="12"/>
  <c r="F39" i="12"/>
  <c r="M34" i="12"/>
  <c r="M39" i="12" s="1"/>
  <c r="F34" i="12"/>
  <c r="F15" i="12"/>
  <c r="M13" i="12"/>
  <c r="M15" i="12" s="1"/>
  <c r="F13" i="12"/>
  <c r="F153" i="11"/>
  <c r="M146" i="11"/>
  <c r="M153" i="11" s="1"/>
  <c r="F146" i="11"/>
  <c r="F125" i="11"/>
  <c r="M124" i="11"/>
  <c r="M125" i="11" s="1"/>
  <c r="F124" i="11"/>
  <c r="M90" i="11"/>
  <c r="F90" i="11"/>
  <c r="M89" i="11"/>
  <c r="M94" i="11" s="1"/>
  <c r="F89" i="11"/>
  <c r="F94" i="11" s="1"/>
  <c r="P88" i="11"/>
  <c r="M65" i="11"/>
  <c r="M70" i="11" s="1"/>
  <c r="F65" i="11"/>
  <c r="F70" i="11" s="1"/>
  <c r="M36" i="11"/>
  <c r="M42" i="11" s="1"/>
  <c r="F36" i="11"/>
  <c r="F42" i="11" s="1"/>
  <c r="M14" i="11"/>
  <c r="F14" i="11"/>
  <c r="M11" i="11"/>
  <c r="F11" i="11"/>
  <c r="M8" i="11"/>
  <c r="M17" i="11" s="1"/>
  <c r="F8" i="11"/>
  <c r="F17" i="11" s="1"/>
  <c r="F24" i="10"/>
  <c r="M213" i="9"/>
  <c r="F213" i="9"/>
  <c r="M207" i="9"/>
  <c r="M215" i="9" s="1"/>
  <c r="F207" i="9"/>
  <c r="F215" i="9" s="1"/>
  <c r="M184" i="9"/>
  <c r="M175" i="9"/>
  <c r="F175" i="9"/>
  <c r="F184" i="9" s="1"/>
  <c r="M151" i="9"/>
  <c r="F151" i="9"/>
  <c r="M148" i="9"/>
  <c r="M152" i="9" s="1"/>
  <c r="F148" i="9"/>
  <c r="M146" i="9"/>
  <c r="F146" i="9"/>
  <c r="F152" i="9" s="1"/>
  <c r="M125" i="9"/>
  <c r="M121" i="9"/>
  <c r="F121" i="9"/>
  <c r="F125" i="9" s="1"/>
  <c r="M100" i="9"/>
  <c r="F100" i="9"/>
  <c r="M70" i="9"/>
  <c r="F70" i="9"/>
  <c r="M42" i="9"/>
  <c r="F42" i="9"/>
  <c r="M38" i="9"/>
  <c r="M43" i="9" s="1"/>
  <c r="F38" i="9"/>
  <c r="M36" i="9"/>
  <c r="F36" i="9"/>
  <c r="F43" i="9" s="1"/>
  <c r="M15" i="9"/>
  <c r="F15" i="9"/>
  <c r="M11" i="9"/>
  <c r="M17" i="9" s="1"/>
  <c r="F11" i="9"/>
  <c r="F17" i="9" s="1"/>
  <c r="P14" i="8"/>
  <c r="O14" i="8"/>
  <c r="N14" i="8"/>
  <c r="M14" i="8"/>
  <c r="L14" i="8"/>
  <c r="K14" i="8"/>
  <c r="J14" i="8"/>
  <c r="I14" i="8"/>
  <c r="H14" i="8"/>
  <c r="G14" i="8"/>
  <c r="F14" i="8"/>
  <c r="E14" i="8"/>
  <c r="Q13" i="8"/>
  <c r="Q12" i="8"/>
  <c r="Q11" i="8"/>
  <c r="Q10" i="8"/>
  <c r="Q9" i="8"/>
  <c r="Q8" i="8"/>
  <c r="Q7" i="8"/>
  <c r="Q6" i="8"/>
  <c r="Q5" i="8"/>
  <c r="Q4" i="8"/>
  <c r="E15" i="7"/>
  <c r="F15" i="7" s="1"/>
  <c r="D15" i="7"/>
  <c r="F14" i="7"/>
  <c r="F13" i="7"/>
  <c r="F12" i="7"/>
  <c r="F11" i="7"/>
  <c r="F10" i="7"/>
  <c r="F9" i="7"/>
  <c r="F8" i="7"/>
  <c r="F7" i="7"/>
  <c r="F6" i="7"/>
  <c r="F5" i="7"/>
  <c r="F4" i="7"/>
  <c r="E15" i="6"/>
  <c r="F15" i="6" s="1"/>
  <c r="D15" i="6"/>
  <c r="F14" i="6"/>
  <c r="F13" i="6"/>
  <c r="F12" i="6"/>
  <c r="F11" i="6"/>
  <c r="F10" i="6"/>
  <c r="F9" i="6"/>
  <c r="F8" i="6"/>
  <c r="F7" i="6"/>
  <c r="F6" i="6"/>
  <c r="F5" i="6"/>
  <c r="F4" i="6"/>
  <c r="F96" i="5"/>
  <c r="E96" i="5"/>
  <c r="D96" i="5"/>
  <c r="P95" i="5"/>
  <c r="P94" i="5"/>
  <c r="P93" i="5"/>
  <c r="P92" i="5"/>
  <c r="P91" i="5"/>
  <c r="P90" i="5"/>
  <c r="P89" i="5"/>
  <c r="P88" i="5"/>
  <c r="P87" i="5"/>
  <c r="P86" i="5"/>
  <c r="P85" i="5"/>
  <c r="P84" i="5"/>
  <c r="F80" i="5"/>
  <c r="E80" i="5"/>
  <c r="D80" i="5"/>
  <c r="P79" i="5"/>
  <c r="P78" i="5"/>
  <c r="P77" i="5"/>
  <c r="P76" i="5"/>
  <c r="P75" i="5"/>
  <c r="P74" i="5"/>
  <c r="P73" i="5"/>
  <c r="P72" i="5"/>
  <c r="P71" i="5"/>
  <c r="P70" i="5"/>
  <c r="P69" i="5"/>
  <c r="P68" i="5"/>
  <c r="F64" i="5"/>
  <c r="E64" i="5"/>
  <c r="D64" i="5"/>
  <c r="P63" i="5"/>
  <c r="P62" i="5"/>
  <c r="P61" i="5"/>
  <c r="P60" i="5"/>
  <c r="P59" i="5"/>
  <c r="P58" i="5"/>
  <c r="P57" i="5"/>
  <c r="P56" i="5"/>
  <c r="P55" i="5"/>
  <c r="P54" i="5"/>
  <c r="P53" i="5"/>
  <c r="P52" i="5"/>
  <c r="F48" i="5"/>
  <c r="E48" i="5"/>
  <c r="D48" i="5"/>
  <c r="P47" i="5"/>
  <c r="P46" i="5"/>
  <c r="P45" i="5"/>
  <c r="P44" i="5"/>
  <c r="P43" i="5"/>
  <c r="P42" i="5"/>
  <c r="P41" i="5"/>
  <c r="P40" i="5"/>
  <c r="P39" i="5"/>
  <c r="P38" i="5"/>
  <c r="P37" i="5"/>
  <c r="P36" i="5"/>
  <c r="F32" i="5"/>
  <c r="E32" i="5"/>
  <c r="D32" i="5"/>
  <c r="P31" i="5"/>
  <c r="P30" i="5"/>
  <c r="P29" i="5"/>
  <c r="P28" i="5"/>
  <c r="P27" i="5"/>
  <c r="P26" i="5"/>
  <c r="P25" i="5"/>
  <c r="P24" i="5"/>
  <c r="P23" i="5"/>
  <c r="P22" i="5"/>
  <c r="P21" i="5"/>
  <c r="P20" i="5"/>
  <c r="E16" i="5"/>
  <c r="P13" i="5"/>
  <c r="E13" i="5"/>
  <c r="D13" i="5"/>
  <c r="F12" i="5"/>
  <c r="E12" i="5"/>
  <c r="D12" i="5"/>
  <c r="F11" i="5"/>
  <c r="E11" i="5"/>
  <c r="F10" i="5"/>
  <c r="E10" i="5"/>
  <c r="D10" i="5"/>
  <c r="F9" i="5"/>
  <c r="E9" i="5"/>
  <c r="D9" i="5"/>
  <c r="F8" i="5"/>
  <c r="E8" i="5"/>
  <c r="D8" i="5"/>
  <c r="F7" i="5"/>
  <c r="F16" i="5" s="1"/>
  <c r="E7" i="5"/>
  <c r="P14" i="5" s="1"/>
  <c r="E6" i="5"/>
  <c r="D6" i="5"/>
  <c r="P5" i="5"/>
  <c r="F5" i="5"/>
  <c r="E5" i="5"/>
  <c r="D5" i="5"/>
  <c r="P4" i="5"/>
  <c r="F4" i="5"/>
  <c r="E4" i="5"/>
  <c r="P6" i="5" s="1"/>
  <c r="D4" i="5"/>
  <c r="D16" i="5" s="1"/>
  <c r="O132" i="4"/>
  <c r="N132" i="4"/>
  <c r="M132" i="4"/>
  <c r="L132" i="4"/>
  <c r="K132" i="4"/>
  <c r="J132" i="4"/>
  <c r="I132" i="4"/>
  <c r="H132" i="4"/>
  <c r="G132" i="4"/>
  <c r="F132" i="4"/>
  <c r="E132" i="4"/>
  <c r="D132" i="4"/>
  <c r="P131" i="4"/>
  <c r="P130" i="4"/>
  <c r="P129" i="4"/>
  <c r="P128" i="4"/>
  <c r="P127" i="4"/>
  <c r="P126" i="4"/>
  <c r="P125" i="4"/>
  <c r="P124" i="4"/>
  <c r="P123" i="4"/>
  <c r="P122" i="4"/>
  <c r="P121" i="4"/>
  <c r="P120" i="4"/>
  <c r="P119" i="4"/>
  <c r="P118" i="4"/>
  <c r="P117" i="4"/>
  <c r="P116" i="4"/>
  <c r="P132" i="4" s="1"/>
  <c r="P115" i="4"/>
  <c r="P114" i="4"/>
  <c r="O110" i="4"/>
  <c r="N110" i="4"/>
  <c r="M110" i="4"/>
  <c r="L110" i="4"/>
  <c r="K110" i="4"/>
  <c r="J110" i="4"/>
  <c r="I110" i="4"/>
  <c r="H110" i="4"/>
  <c r="G110" i="4"/>
  <c r="F110" i="4"/>
  <c r="E110" i="4"/>
  <c r="P109" i="4"/>
  <c r="P108" i="4"/>
  <c r="P107" i="4"/>
  <c r="P106" i="4"/>
  <c r="P105" i="4"/>
  <c r="P104" i="4"/>
  <c r="P103" i="4"/>
  <c r="P102" i="4"/>
  <c r="P101" i="4"/>
  <c r="P100" i="4"/>
  <c r="P99" i="4"/>
  <c r="P98" i="4"/>
  <c r="P97" i="4"/>
  <c r="P96" i="4"/>
  <c r="P95" i="4"/>
  <c r="P94" i="4"/>
  <c r="P93" i="4"/>
  <c r="P92" i="4"/>
  <c r="O88" i="4"/>
  <c r="N88" i="4"/>
  <c r="M88" i="4"/>
  <c r="L88" i="4"/>
  <c r="K88" i="4"/>
  <c r="J88" i="4"/>
  <c r="I88" i="4"/>
  <c r="H88" i="4"/>
  <c r="G88" i="4"/>
  <c r="F88" i="4"/>
  <c r="E88" i="4"/>
  <c r="D88" i="4"/>
  <c r="P87" i="4"/>
  <c r="P86" i="4"/>
  <c r="P85" i="4"/>
  <c r="P84" i="4"/>
  <c r="P83" i="4"/>
  <c r="P82" i="4"/>
  <c r="P81" i="4"/>
  <c r="P80" i="4"/>
  <c r="I80" i="4"/>
  <c r="P79" i="4"/>
  <c r="P78" i="4"/>
  <c r="P77" i="4"/>
  <c r="P76" i="4"/>
  <c r="P75" i="4"/>
  <c r="P74" i="4"/>
  <c r="P73" i="4"/>
  <c r="P72" i="4"/>
  <c r="P71" i="4"/>
  <c r="P70" i="4"/>
  <c r="O66" i="4"/>
  <c r="N66" i="4"/>
  <c r="M66" i="4"/>
  <c r="L66" i="4"/>
  <c r="K66" i="4"/>
  <c r="J66" i="4"/>
  <c r="I66" i="4"/>
  <c r="H66" i="4"/>
  <c r="G66" i="4"/>
  <c r="F66" i="4"/>
  <c r="E66" i="4"/>
  <c r="D66" i="4"/>
  <c r="P65" i="4"/>
  <c r="P64" i="4"/>
  <c r="P63" i="4"/>
  <c r="P62" i="4"/>
  <c r="P61" i="4"/>
  <c r="P60" i="4"/>
  <c r="P59" i="4"/>
  <c r="P58" i="4"/>
  <c r="P57" i="4"/>
  <c r="P56" i="4"/>
  <c r="P55" i="4"/>
  <c r="P54" i="4"/>
  <c r="P53" i="4"/>
  <c r="P52" i="4"/>
  <c r="P51" i="4"/>
  <c r="P50" i="4"/>
  <c r="P49" i="4"/>
  <c r="P48" i="4"/>
  <c r="O44" i="4"/>
  <c r="N44" i="4"/>
  <c r="M44" i="4"/>
  <c r="L44" i="4"/>
  <c r="K44" i="4"/>
  <c r="J44" i="4"/>
  <c r="I44" i="4"/>
  <c r="H44" i="4"/>
  <c r="G44" i="4"/>
  <c r="F44" i="4"/>
  <c r="E44" i="4"/>
  <c r="D44" i="4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J20" i="4"/>
  <c r="I20" i="4"/>
  <c r="O17" i="4"/>
  <c r="N17" i="4"/>
  <c r="M17" i="4"/>
  <c r="G16" i="4"/>
  <c r="F16" i="4"/>
  <c r="D16" i="4"/>
  <c r="L15" i="4"/>
  <c r="K15" i="4"/>
  <c r="J15" i="4"/>
  <c r="I15" i="4"/>
  <c r="H15" i="4"/>
  <c r="G15" i="4"/>
  <c r="F15" i="4"/>
  <c r="E15" i="4"/>
  <c r="D15" i="4"/>
  <c r="L14" i="4"/>
  <c r="K14" i="4"/>
  <c r="J14" i="4"/>
  <c r="I14" i="4"/>
  <c r="H14" i="4"/>
  <c r="G14" i="4"/>
  <c r="F14" i="4"/>
  <c r="E14" i="4"/>
  <c r="D14" i="4"/>
  <c r="O13" i="4"/>
  <c r="N13" i="4"/>
  <c r="M13" i="4"/>
  <c r="L13" i="4"/>
  <c r="K13" i="4"/>
  <c r="J13" i="4"/>
  <c r="I13" i="4"/>
  <c r="H13" i="4"/>
  <c r="G13" i="4"/>
  <c r="F13" i="4"/>
  <c r="E13" i="4"/>
  <c r="D13" i="4"/>
  <c r="O12" i="4"/>
  <c r="N12" i="4"/>
  <c r="M12" i="4"/>
  <c r="L12" i="4"/>
  <c r="K12" i="4"/>
  <c r="J12" i="4"/>
  <c r="I12" i="4"/>
  <c r="H12" i="4"/>
  <c r="G12" i="4"/>
  <c r="F12" i="4"/>
  <c r="E12" i="4"/>
  <c r="D12" i="4"/>
  <c r="O11" i="4"/>
  <c r="N11" i="4"/>
  <c r="M11" i="4"/>
  <c r="L11" i="4"/>
  <c r="K11" i="4"/>
  <c r="J11" i="4"/>
  <c r="I11" i="4"/>
  <c r="H11" i="4"/>
  <c r="G11" i="4"/>
  <c r="F11" i="4"/>
  <c r="E11" i="4"/>
  <c r="D11" i="4"/>
  <c r="O10" i="4"/>
  <c r="N10" i="4"/>
  <c r="M10" i="4"/>
  <c r="L10" i="4"/>
  <c r="K10" i="4"/>
  <c r="J10" i="4"/>
  <c r="I10" i="4"/>
  <c r="H10" i="4"/>
  <c r="G10" i="4"/>
  <c r="F10" i="4"/>
  <c r="O9" i="4"/>
  <c r="N9" i="4"/>
  <c r="M9" i="4"/>
  <c r="L9" i="4"/>
  <c r="K9" i="4"/>
  <c r="J9" i="4"/>
  <c r="I9" i="4"/>
  <c r="H9" i="4"/>
  <c r="G9" i="4"/>
  <c r="F9" i="4"/>
  <c r="O8" i="4"/>
  <c r="N8" i="4"/>
  <c r="M8" i="4"/>
  <c r="L8" i="4"/>
  <c r="K8" i="4"/>
  <c r="J8" i="4"/>
  <c r="I8" i="4"/>
  <c r="G8" i="4"/>
  <c r="D8" i="4"/>
  <c r="M7" i="4"/>
  <c r="L7" i="4"/>
  <c r="J7" i="4"/>
  <c r="I7" i="4"/>
  <c r="G7" i="4"/>
  <c r="O6" i="4"/>
  <c r="N6" i="4"/>
  <c r="M6" i="4"/>
  <c r="M22" i="4" s="1"/>
  <c r="L6" i="4"/>
  <c r="K6" i="4"/>
  <c r="J6" i="4"/>
  <c r="I6" i="4"/>
  <c r="H6" i="4"/>
  <c r="G6" i="4"/>
  <c r="F6" i="4"/>
  <c r="E6" i="4"/>
  <c r="D6" i="4"/>
  <c r="O5" i="4"/>
  <c r="O22" i="4" s="1"/>
  <c r="N5" i="4"/>
  <c r="N22" i="4" s="1"/>
  <c r="M5" i="4"/>
  <c r="L5" i="4"/>
  <c r="L22" i="4" s="1"/>
  <c r="K5" i="4"/>
  <c r="K22" i="4" s="1"/>
  <c r="J5" i="4"/>
  <c r="J22" i="4" s="1"/>
  <c r="I5" i="4"/>
  <c r="H5" i="4"/>
  <c r="G5" i="4"/>
  <c r="F5" i="4"/>
  <c r="E5" i="4"/>
  <c r="D5" i="4"/>
  <c r="I4" i="4"/>
  <c r="I22" i="4" s="1"/>
  <c r="H4" i="4"/>
  <c r="H22" i="4" s="1"/>
  <c r="G4" i="4"/>
  <c r="G22" i="4" s="1"/>
  <c r="F4" i="4"/>
  <c r="F22" i="4" s="1"/>
  <c r="E4" i="4"/>
  <c r="P12" i="4" s="1"/>
  <c r="D4" i="4"/>
  <c r="D22" i="4" s="1"/>
  <c r="O120" i="3"/>
  <c r="N120" i="3"/>
  <c r="M120" i="3"/>
  <c r="L120" i="3"/>
  <c r="K120" i="3"/>
  <c r="J120" i="3"/>
  <c r="I120" i="3"/>
  <c r="H120" i="3"/>
  <c r="G120" i="3"/>
  <c r="F120" i="3"/>
  <c r="E120" i="3"/>
  <c r="D120" i="3"/>
  <c r="P119" i="3"/>
  <c r="P118" i="3"/>
  <c r="P117" i="3"/>
  <c r="P116" i="3"/>
  <c r="P115" i="3"/>
  <c r="P114" i="3"/>
  <c r="P113" i="3"/>
  <c r="P112" i="3"/>
  <c r="P111" i="3"/>
  <c r="P110" i="3"/>
  <c r="P109" i="3"/>
  <c r="P108" i="3"/>
  <c r="P107" i="3"/>
  <c r="P106" i="3"/>
  <c r="P105" i="3"/>
  <c r="P104" i="3"/>
  <c r="O100" i="3"/>
  <c r="N100" i="3"/>
  <c r="M100" i="3"/>
  <c r="L100" i="3"/>
  <c r="K100" i="3"/>
  <c r="I100" i="3"/>
  <c r="H100" i="3"/>
  <c r="G100" i="3"/>
  <c r="F100" i="3"/>
  <c r="E100" i="3"/>
  <c r="D100" i="3"/>
  <c r="P99" i="3"/>
  <c r="P98" i="3"/>
  <c r="P97" i="3"/>
  <c r="P96" i="3"/>
  <c r="P95" i="3"/>
  <c r="J95" i="3"/>
  <c r="J100" i="3" s="1"/>
  <c r="P94" i="3"/>
  <c r="P93" i="3"/>
  <c r="P92" i="3"/>
  <c r="P91" i="3"/>
  <c r="P90" i="3"/>
  <c r="P89" i="3"/>
  <c r="P88" i="3"/>
  <c r="P87" i="3"/>
  <c r="P86" i="3"/>
  <c r="J86" i="3"/>
  <c r="P85" i="3"/>
  <c r="P84" i="3"/>
  <c r="Q79" i="3"/>
  <c r="O79" i="3"/>
  <c r="N79" i="3"/>
  <c r="M79" i="3"/>
  <c r="L79" i="3"/>
  <c r="K79" i="3"/>
  <c r="J79" i="3"/>
  <c r="I79" i="3"/>
  <c r="H79" i="3"/>
  <c r="G79" i="3"/>
  <c r="F79" i="3"/>
  <c r="E79" i="3"/>
  <c r="D79" i="3"/>
  <c r="P78" i="3"/>
  <c r="P77" i="3"/>
  <c r="P76" i="3"/>
  <c r="P75" i="3"/>
  <c r="P74" i="3"/>
  <c r="P73" i="3"/>
  <c r="P72" i="3"/>
  <c r="P71" i="3"/>
  <c r="P70" i="3"/>
  <c r="P69" i="3"/>
  <c r="P68" i="3"/>
  <c r="P67" i="3"/>
  <c r="P66" i="3"/>
  <c r="P65" i="3"/>
  <c r="P64" i="3"/>
  <c r="P63" i="3"/>
  <c r="O60" i="3"/>
  <c r="N60" i="3"/>
  <c r="M60" i="3"/>
  <c r="L60" i="3"/>
  <c r="K60" i="3"/>
  <c r="J60" i="3"/>
  <c r="I60" i="3"/>
  <c r="H60" i="3"/>
  <c r="G60" i="3"/>
  <c r="F60" i="3"/>
  <c r="E60" i="3"/>
  <c r="D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O40" i="3"/>
  <c r="N40" i="3"/>
  <c r="M40" i="3"/>
  <c r="L40" i="3"/>
  <c r="K40" i="3"/>
  <c r="J40" i="3"/>
  <c r="I40" i="3"/>
  <c r="H40" i="3"/>
  <c r="G40" i="3"/>
  <c r="F40" i="3"/>
  <c r="E40" i="3"/>
  <c r="D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I20" i="3"/>
  <c r="F17" i="3"/>
  <c r="E17" i="3"/>
  <c r="D17" i="3"/>
  <c r="F16" i="3"/>
  <c r="E16" i="3"/>
  <c r="D16" i="3"/>
  <c r="K15" i="3"/>
  <c r="J15" i="3"/>
  <c r="F15" i="3"/>
  <c r="E15" i="3"/>
  <c r="D15" i="3"/>
  <c r="O14" i="3"/>
  <c r="N13" i="3"/>
  <c r="M13" i="3"/>
  <c r="L13" i="3"/>
  <c r="K13" i="3"/>
  <c r="J13" i="3"/>
  <c r="G13" i="3"/>
  <c r="F13" i="3"/>
  <c r="F20" i="3" s="1"/>
  <c r="E13" i="3"/>
  <c r="D13" i="3"/>
  <c r="O12" i="3"/>
  <c r="N12" i="3"/>
  <c r="M12" i="3"/>
  <c r="L12" i="3"/>
  <c r="K12" i="3"/>
  <c r="J12" i="3"/>
  <c r="G12" i="3"/>
  <c r="O11" i="3"/>
  <c r="N11" i="3"/>
  <c r="M11" i="3"/>
  <c r="L11" i="3"/>
  <c r="K11" i="3"/>
  <c r="N10" i="3"/>
  <c r="M10" i="3"/>
  <c r="L10" i="3"/>
  <c r="K10" i="3"/>
  <c r="J10" i="3"/>
  <c r="H10" i="3"/>
  <c r="G10" i="3"/>
  <c r="G20" i="3" s="1"/>
  <c r="F10" i="3"/>
  <c r="E10" i="3"/>
  <c r="D10" i="3"/>
  <c r="P9" i="3"/>
  <c r="O9" i="3"/>
  <c r="N9" i="3"/>
  <c r="M9" i="3"/>
  <c r="L9" i="3"/>
  <c r="K9" i="3"/>
  <c r="J9" i="3"/>
  <c r="P7" i="3"/>
  <c r="O7" i="3"/>
  <c r="O6" i="3"/>
  <c r="N6" i="3"/>
  <c r="N20" i="3" s="1"/>
  <c r="M6" i="3"/>
  <c r="L6" i="3"/>
  <c r="K6" i="3"/>
  <c r="J6" i="3"/>
  <c r="G6" i="3"/>
  <c r="F6" i="3"/>
  <c r="O5" i="3"/>
  <c r="O20" i="3" s="1"/>
  <c r="N5" i="3"/>
  <c r="M5" i="3"/>
  <c r="K5" i="3"/>
  <c r="K20" i="3" s="1"/>
  <c r="J5" i="3"/>
  <c r="J20" i="3" s="1"/>
  <c r="H5" i="3"/>
  <c r="G5" i="3"/>
  <c r="F5" i="3"/>
  <c r="E5" i="3"/>
  <c r="P18" i="3" s="1"/>
  <c r="O4" i="3"/>
  <c r="N4" i="3"/>
  <c r="M4" i="3"/>
  <c r="M20" i="3" s="1"/>
  <c r="L4" i="3"/>
  <c r="L20" i="3" s="1"/>
  <c r="K4" i="3"/>
  <c r="J4" i="3"/>
  <c r="H4" i="3"/>
  <c r="H20" i="3" s="1"/>
  <c r="G4" i="3"/>
  <c r="P4" i="3" s="1"/>
  <c r="F4" i="3"/>
  <c r="E4" i="3"/>
  <c r="E20" i="3" s="1"/>
  <c r="D4" i="3"/>
  <c r="D20" i="3" s="1"/>
  <c r="D62" i="2"/>
  <c r="D63" i="2" s="1"/>
  <c r="D64" i="2" s="1"/>
  <c r="D56" i="2"/>
  <c r="D57" i="2" s="1"/>
  <c r="D58" i="2" s="1"/>
  <c r="D51" i="2"/>
  <c r="D52" i="2" s="1"/>
  <c r="D50" i="2"/>
  <c r="D44" i="2"/>
  <c r="D45" i="2" s="1"/>
  <c r="D46" i="2" s="1"/>
  <c r="D43" i="2"/>
  <c r="D37" i="2"/>
  <c r="D38" i="2" s="1"/>
  <c r="D39" i="2" s="1"/>
  <c r="D36" i="2"/>
  <c r="D28" i="2"/>
  <c r="D29" i="2" s="1"/>
  <c r="D30" i="2" s="1"/>
  <c r="D31" i="2" s="1"/>
  <c r="D32" i="2" s="1"/>
  <c r="D20" i="2"/>
  <c r="D21" i="2" s="1"/>
  <c r="D22" i="2" s="1"/>
  <c r="D24" i="2" s="1"/>
  <c r="L14" i="2"/>
  <c r="J14" i="2"/>
  <c r="D13" i="2"/>
  <c r="D14" i="2" s="1"/>
  <c r="D15" i="2" s="1"/>
  <c r="D16" i="2" s="1"/>
  <c r="D6" i="2"/>
  <c r="D7" i="2" s="1"/>
  <c r="D8" i="2" s="1"/>
  <c r="D9" i="2" s="1"/>
  <c r="D5" i="2"/>
  <c r="P143" i="1"/>
  <c r="P142" i="1"/>
  <c r="P141" i="1"/>
  <c r="P140" i="1"/>
  <c r="P139" i="1"/>
  <c r="P138" i="1"/>
  <c r="P137" i="1"/>
  <c r="P136" i="1"/>
  <c r="P135" i="1"/>
  <c r="P130" i="1"/>
  <c r="P129" i="1"/>
  <c r="P128" i="1"/>
  <c r="P127" i="1"/>
  <c r="P126" i="1"/>
  <c r="P125" i="1"/>
  <c r="P124" i="1"/>
  <c r="P123" i="1"/>
  <c r="P122" i="1"/>
  <c r="P117" i="1"/>
  <c r="P116" i="1"/>
  <c r="P115" i="1"/>
  <c r="P114" i="1"/>
  <c r="P113" i="1"/>
  <c r="P112" i="1"/>
  <c r="P111" i="1"/>
  <c r="P110" i="1"/>
  <c r="P109" i="1"/>
  <c r="G105" i="1"/>
  <c r="E105" i="1"/>
  <c r="P104" i="1"/>
  <c r="P103" i="1"/>
  <c r="P102" i="1"/>
  <c r="P101" i="1"/>
  <c r="P100" i="1"/>
  <c r="P99" i="1"/>
  <c r="P98" i="1"/>
  <c r="P97" i="1"/>
  <c r="P96" i="1"/>
  <c r="G92" i="1"/>
  <c r="E92" i="1"/>
  <c r="P91" i="1"/>
  <c r="P90" i="1"/>
  <c r="P89" i="1"/>
  <c r="P88" i="1"/>
  <c r="P87" i="1"/>
  <c r="P86" i="1"/>
  <c r="P85" i="1"/>
  <c r="P84" i="1"/>
  <c r="P83" i="1"/>
  <c r="G79" i="1"/>
  <c r="E79" i="1"/>
  <c r="P78" i="1"/>
  <c r="P77" i="1"/>
  <c r="P76" i="1"/>
  <c r="P75" i="1"/>
  <c r="P74" i="1"/>
  <c r="P73" i="1"/>
  <c r="P72" i="1"/>
  <c r="P71" i="1"/>
  <c r="P70" i="1"/>
  <c r="P64" i="1"/>
  <c r="P63" i="1"/>
  <c r="P62" i="1"/>
  <c r="P61" i="1"/>
  <c r="P60" i="1"/>
  <c r="P59" i="1"/>
  <c r="P58" i="1"/>
  <c r="P57" i="1"/>
  <c r="P56" i="1"/>
  <c r="P51" i="1"/>
  <c r="P50" i="1"/>
  <c r="P49" i="1"/>
  <c r="P48" i="1"/>
  <c r="P47" i="1"/>
  <c r="P46" i="1"/>
  <c r="P45" i="1"/>
  <c r="P44" i="1"/>
  <c r="P43" i="1"/>
  <c r="P38" i="1"/>
  <c r="P37" i="1"/>
  <c r="P36" i="1"/>
  <c r="P35" i="1"/>
  <c r="P34" i="1"/>
  <c r="P33" i="1"/>
  <c r="P32" i="1"/>
  <c r="P31" i="1"/>
  <c r="P30" i="1"/>
  <c r="P25" i="1"/>
  <c r="P24" i="1"/>
  <c r="P23" i="1"/>
  <c r="P22" i="1"/>
  <c r="P21" i="1"/>
  <c r="P20" i="1"/>
  <c r="P19" i="1"/>
  <c r="P18" i="1"/>
  <c r="P17" i="1"/>
  <c r="P12" i="1"/>
  <c r="P11" i="1"/>
  <c r="P10" i="1"/>
  <c r="P9" i="1"/>
  <c r="P8" i="1"/>
  <c r="P7" i="1"/>
  <c r="P6" i="1"/>
  <c r="P5" i="1"/>
  <c r="P4" i="1"/>
  <c r="P110" i="4" l="1"/>
  <c r="P40" i="3"/>
  <c r="P79" i="3"/>
  <c r="P66" i="4"/>
  <c r="P16" i="4"/>
  <c r="P5" i="3"/>
  <c r="P8" i="3"/>
  <c r="P11" i="3"/>
  <c r="P12" i="3"/>
  <c r="P14" i="3"/>
  <c r="P19" i="3"/>
  <c r="P4" i="4"/>
  <c r="P7" i="4"/>
  <c r="P10" i="4"/>
  <c r="P18" i="4"/>
  <c r="P20" i="4"/>
  <c r="P11" i="5"/>
  <c r="P12" i="5"/>
  <c r="P13" i="4"/>
  <c r="P17" i="4"/>
  <c r="P6" i="3"/>
  <c r="P5" i="4"/>
  <c r="P9" i="4"/>
  <c r="P11" i="4"/>
  <c r="P14" i="4"/>
  <c r="P19" i="4"/>
  <c r="P21" i="4"/>
  <c r="P7" i="5"/>
  <c r="P8" i="5"/>
  <c r="P9" i="5"/>
  <c r="P10" i="5"/>
  <c r="P15" i="5"/>
  <c r="P85" i="12"/>
  <c r="P15" i="4"/>
  <c r="E22" i="4"/>
  <c r="P10" i="3"/>
  <c r="P13" i="3"/>
  <c r="P15" i="3"/>
  <c r="P16" i="3"/>
  <c r="P17" i="3"/>
  <c r="P6" i="4"/>
  <c r="P8" i="4"/>
  <c r="P22" i="4" l="1"/>
</calcChain>
</file>

<file path=xl/sharedStrings.xml><?xml version="1.0" encoding="utf-8"?>
<sst xmlns="http://schemas.openxmlformats.org/spreadsheetml/2006/main" count="2690" uniqueCount="290">
  <si>
    <t>Folha de pagamento</t>
  </si>
  <si>
    <t>Salários 2022</t>
  </si>
  <si>
    <t>Funcionários</t>
  </si>
  <si>
    <t>Data Admissão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</si>
  <si>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</si>
  <si>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</si>
  <si>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</si>
  <si>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</si>
  <si>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</si>
  <si>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</si>
  <si>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</si>
  <si>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</si>
  <si>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</si>
  <si>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</si>
  <si>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</si>
  <si>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</si>
  <si>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</si>
  <si>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Gustavo da Silva Carvalho</t>
  </si>
  <si>
    <t>Leonardo</t>
  </si>
  <si>
    <t>Alemárcia Moura Pedroso Casassa</t>
  </si>
  <si>
    <t xml:space="preserve">Monalisa Romanesi Santos </t>
  </si>
  <si>
    <t>Thaís Joana Tito Gonçalves</t>
  </si>
  <si>
    <t xml:space="preserve">Débora </t>
  </si>
  <si>
    <t>Ailton Gonçalves Branco</t>
  </si>
  <si>
    <t>Ederson Vieira</t>
  </si>
  <si>
    <t>Felipe Gomes dos Santos</t>
  </si>
  <si>
    <t>Hora-Extra 2022</t>
  </si>
  <si>
    <t>Auxílio Combustível 2022</t>
  </si>
  <si>
    <t>Comissão de Produção 2022</t>
  </si>
  <si>
    <t>Cesta - Vale Alimentação - 2022</t>
  </si>
  <si>
    <t xml:space="preserve">Leonardo </t>
  </si>
  <si>
    <t>Descontos na Folha 2022 - INSS</t>
  </si>
  <si>
    <t>Descontos na Folha 2022 - IRRF</t>
  </si>
  <si>
    <t>Descontos na Folha 2022 - Plano de Saúde</t>
  </si>
  <si>
    <t>Descontos na Folha 2022 - Horas Falta</t>
  </si>
  <si>
    <t>Descontos na Folha 2022 - Compras no cartão da Estamparia</t>
  </si>
  <si>
    <t>60,00+182,25</t>
  </si>
  <si>
    <t>Descontos na Folha 2022 - Farmácia</t>
  </si>
  <si>
    <t>COLABORADORES</t>
  </si>
  <si>
    <t>FOLHA DE PAGAMENTO - MARÇO/2022</t>
  </si>
  <si>
    <t>Descrição</t>
  </si>
  <si>
    <t>Vencimentos/Descontos</t>
  </si>
  <si>
    <t>Total (R$)</t>
  </si>
  <si>
    <t>sem comissão</t>
  </si>
  <si>
    <t>com comissão</t>
  </si>
  <si>
    <t>Salário Base (Holerite)</t>
  </si>
  <si>
    <t>Adicional</t>
  </si>
  <si>
    <t>Monalisa Romanesi Santos</t>
  </si>
  <si>
    <t>Cesta + Combustível</t>
  </si>
  <si>
    <t>Produção</t>
  </si>
  <si>
    <t>TOTAL</t>
  </si>
  <si>
    <t>Débora</t>
  </si>
  <si>
    <t>Combustível</t>
  </si>
  <si>
    <t>Cesta</t>
  </si>
  <si>
    <t>TOTAL BRUTO</t>
  </si>
  <si>
    <t>Descontos (INSS,IRRF)</t>
  </si>
  <si>
    <t>TOTAL LÍQUIDO</t>
  </si>
  <si>
    <t xml:space="preserve">Cesta </t>
  </si>
  <si>
    <t>Produção (média)</t>
  </si>
  <si>
    <t>Salários 2020</t>
  </si>
  <si>
    <t>Alemárica Moura Pedroso Casassa</t>
  </si>
  <si>
    <t>Leonardo Henrique da Silva Oliveira</t>
  </si>
  <si>
    <t>Débora Rosa Sabin da SiLVA Dino</t>
  </si>
  <si>
    <t>Suelen de Sena da Silva</t>
  </si>
  <si>
    <t>Cleber</t>
  </si>
  <si>
    <t>João</t>
  </si>
  <si>
    <t>Jhonatan</t>
  </si>
  <si>
    <t>Lucas</t>
  </si>
  <si>
    <t>Everton Luan</t>
  </si>
  <si>
    <t>Reginaldo</t>
  </si>
  <si>
    <t>Everton</t>
  </si>
  <si>
    <t>Combustível/Vale Transporte 2020</t>
  </si>
  <si>
    <t>Coluna1</t>
  </si>
  <si>
    <t>Cesta Vale Alimentação 2020</t>
  </si>
  <si>
    <t>Comissão de Produção 2020</t>
  </si>
  <si>
    <t>Hora-Extra 2020</t>
  </si>
  <si>
    <t>1/3 FÉRIAS 2020</t>
  </si>
  <si>
    <t>Salários 2021</t>
  </si>
  <si>
    <t>Débora Rosa Sabin da Silva Dino</t>
  </si>
  <si>
    <t>Marcelo Macedo</t>
  </si>
  <si>
    <t>Maurício</t>
  </si>
  <si>
    <t>Sandra</t>
  </si>
  <si>
    <t>Lorena</t>
  </si>
  <si>
    <t>Luana</t>
  </si>
  <si>
    <t>Combustível/Vale Transporte 2021</t>
  </si>
  <si>
    <t>Cesta Vale Alimentação 2021</t>
  </si>
  <si>
    <t>Comissão de Produção 2021</t>
  </si>
  <si>
    <t>Hora-Extra 2021</t>
  </si>
  <si>
    <t>1/3 FÉRIAS 2021</t>
  </si>
  <si>
    <t>Combustível/Vale Transporte 2022</t>
  </si>
  <si>
    <t>Cesta Vale Alimentação 2022</t>
  </si>
  <si>
    <t>1/3 FÉRIAS 2022</t>
  </si>
  <si>
    <t>1 PARCELA-NOV</t>
  </si>
  <si>
    <t>2 PARCELA-DEZ</t>
  </si>
  <si>
    <t>CRONOGRAMA FÉRIAS</t>
  </si>
  <si>
    <t>Data Demissão</t>
  </si>
  <si>
    <t>RECIBO</t>
  </si>
  <si>
    <t>Empregador: ESTAMPARIA JL LTDA - ME</t>
  </si>
  <si>
    <t>CNPJ: 25.140.946/0001-84</t>
  </si>
  <si>
    <t>Empregado: EDERSON VIEIRA</t>
  </si>
  <si>
    <t>DISCRIMINAÇÃO</t>
  </si>
  <si>
    <t xml:space="preserve">VENCIMENTOS </t>
  </si>
  <si>
    <t>Salário Base 01/08/2022 à 31/08/2022............................</t>
  </si>
  <si>
    <t>Diferença................................................................................</t>
  </si>
  <si>
    <t>Combustível..........................................................................</t>
  </si>
  <si>
    <t>Produção................................................................................</t>
  </si>
  <si>
    <t>Hora-Extra..............................................................................</t>
  </si>
  <si>
    <t>DESCONTOS (-)</t>
  </si>
  <si>
    <t>Farmácia..........................................................................................</t>
  </si>
  <si>
    <t>INSS..........................................................................................</t>
  </si>
  <si>
    <t>Plano de Saúde....................................................................</t>
  </si>
  <si>
    <t>Hora-Falta...............................................................................</t>
  </si>
  <si>
    <t>TOTAL.......................................................................................</t>
  </si>
  <si>
    <t>Declaro que recebi do empregado acima qualificado, o valor líquido de R$3473,64 (Três Mil Quatrocentos e Sessenta e Três Reais e Sessenta e Quatro Centavos).</t>
  </si>
  <si>
    <t>Sarandi-PR.,_______/_______/_______</t>
  </si>
  <si>
    <t>EDERSON VIEIRA</t>
  </si>
  <si>
    <t>Empregado: MONALISA ROMANESI SANTOS</t>
  </si>
  <si>
    <t>Combustível ..............................................................</t>
  </si>
  <si>
    <t>Hora-Falta..............................................................................</t>
  </si>
  <si>
    <t>Adiantamento.....................................................................</t>
  </si>
  <si>
    <t>Declaro que recebi do empregado acima qualificado, o valor líquido de R$2393,84 (Dois Mil Trezentos e Noventa e Três Reais e Oitenta e Quatro Centavos).</t>
  </si>
  <si>
    <t>MONALISA R. SANTOS</t>
  </si>
  <si>
    <t>Empregado: THAIS JOANA TITO GONÇALVES</t>
  </si>
  <si>
    <t>Total Líquido Férias..........................................................</t>
  </si>
  <si>
    <t>Cesta.......................................................................................</t>
  </si>
  <si>
    <t>Farmácia................................................................................</t>
  </si>
  <si>
    <t>Horas Falta........................................................</t>
  </si>
  <si>
    <t>Declaro que recebi do empregado acima qualificado, o valor líquido de R$2269,33 (Dois Mil Duzentos e Sessenta e Nove Reais e Trinta e Três Centavos).</t>
  </si>
  <si>
    <t>THAIS J. TITO GONÇALVES</t>
  </si>
  <si>
    <t>Empregado: AILTON GONÇALVES BRANCO</t>
  </si>
  <si>
    <t>Cesta......................................................................................</t>
  </si>
  <si>
    <t>Junta Cabeçote.....................................................................</t>
  </si>
  <si>
    <t>Netflix...........................................................................</t>
  </si>
  <si>
    <t>TV 3/3.................................................................................</t>
  </si>
  <si>
    <t>Declaro que recebi do empregado acima qualificado, o valor líquido de R$980,49 (Novecentos e Oitenta Reais e Quarenta e Nove Centavos).</t>
  </si>
  <si>
    <t>AILTON GONÇALVES BRANCO</t>
  </si>
  <si>
    <t>Empregado: ALEMÁRCIA M. PEDROSO CASASSA</t>
  </si>
  <si>
    <t>Declaro que recebi do empregado acima qualificado, o valor líquido de R$1392,96 (Um Mil Trezentos e Noventa e Dois Reais e Noventa e Seis Centavos).</t>
  </si>
  <si>
    <t>ALEMÁRCIA M. P. CASASSA</t>
  </si>
  <si>
    <t>Empregado: GUSTAVO DA SILVA CARVALHO</t>
  </si>
  <si>
    <t>Hora-Extra a parte....................................................</t>
  </si>
  <si>
    <t>Declaro que recebi do empregado acima qualificado, o valor líquido de R$2220,76 (Dois Mil Duzentos e Vinte e Dois Reais e Setenta e Seis Centavos).</t>
  </si>
  <si>
    <t>GUSTAVO DA SILVA CARVALHO</t>
  </si>
  <si>
    <t>Empregado: LEONARDO H. DA SILVA OLIVEIRA</t>
  </si>
  <si>
    <t>Hora-Extra................................................................................</t>
  </si>
  <si>
    <t>Salário Família................................................................................</t>
  </si>
  <si>
    <t>Produção...............................................................................</t>
  </si>
  <si>
    <t>INSS..................................................................................</t>
  </si>
  <si>
    <t>Ração.................................................................................</t>
  </si>
  <si>
    <t>Declaro que recebi do empregado acima qualificado, o valor líquido de R$1095,60 (Um Mil e Noventa e Cinco Reais e Sessenta Centavos).</t>
  </si>
  <si>
    <t>LEONARDO H. DA S. OLIVEIRA</t>
  </si>
  <si>
    <t>Empregado: DÉBORA ROSA SABIN DA SILVA DINO</t>
  </si>
  <si>
    <t>Declaro que recebi do empregado acima qualificado, o valor líquido de R$994,53 (Novecentos e Noventa e Quatro Reais e Cinquenta e Três Centavos).</t>
  </si>
  <si>
    <t>DÉBORA ROSA S. DA S. DINO</t>
  </si>
  <si>
    <t>VERBAS RESCISÓRIAS</t>
  </si>
  <si>
    <t>Saldo de 26 dias salário.....................................................</t>
  </si>
  <si>
    <t>Horas Extras...........................................................................</t>
  </si>
  <si>
    <t>Reflexo DSR.........................................................................</t>
  </si>
  <si>
    <t>Férias Proporcional 9/12 avos........................................</t>
  </si>
  <si>
    <t>Aviso Prévio Indenizado - 3 dias....................................</t>
  </si>
  <si>
    <t>13º Salário Proporcional 10/12 avos............................</t>
  </si>
  <si>
    <t>Férias - 01/02/2021 a 31/01/2022..................................</t>
  </si>
  <si>
    <t>Terço Constituinte de Férias.............................................</t>
  </si>
  <si>
    <t>Produção.............................................................................</t>
  </si>
  <si>
    <t>Previdência Social............................................................</t>
  </si>
  <si>
    <t>Multa Rescisória................................................................</t>
  </si>
  <si>
    <t>Adiantamento Salarial....................................................</t>
  </si>
  <si>
    <t>Previdência Social 13º salário.............................................</t>
  </si>
  <si>
    <t>Horas Falta Parcial..................................................................</t>
  </si>
  <si>
    <t>Banco de Horas + Férias..................................................</t>
  </si>
  <si>
    <t>Declaro que recebi do empregado acima qualificado, o valor líquido de R$2535,84 (Dois Mil Quinhentos e Trinta e Cinco Reais e Oitenta e Quatro Centavos).</t>
  </si>
  <si>
    <t>ALEMÁRCIA M. PEDROSO CASASSA</t>
  </si>
  <si>
    <t>Salário Base 01/11/2022 à 30/11/2022............................</t>
  </si>
  <si>
    <t>Compras............................................................................</t>
  </si>
  <si>
    <t>Declaro que recebi do empregado acima qualificado, o valor líquido de R$3466,43 (Três Mil Quatrocentos e Sessenta e Seis Reais e Quarenta e Três Centavos).</t>
  </si>
  <si>
    <t>Declaro que recebi do empregado acima qualificado, o valor líquido de R$2377,30 (Dois Mil Trezentos e Setenta e Sete Reais e Trinta Centavos).</t>
  </si>
  <si>
    <t>IR..........................................................................................</t>
  </si>
  <si>
    <t>Declaro que recebi do empregado acima qualificado, o valor líquido de R$2734,34 (Dois Mil Setecentos e Trinta e Quatro Reais e Trinta e Quatro Centavos).</t>
  </si>
  <si>
    <t>Declaro que recebi do empregado acima qualificado, o valor líquido de R$2136,41 (Dois Mil Cento e Trinta e Seis Reais e Quarenta e Um Centavos).</t>
  </si>
  <si>
    <t>INSS.......................................................................................</t>
  </si>
  <si>
    <t>Ração.....................................................................................</t>
  </si>
  <si>
    <t>tela celular.........................................................................</t>
  </si>
  <si>
    <t>Cabeçote - 2 de 4.....................................................................</t>
  </si>
  <si>
    <t>Plano de Saúde................................................................................</t>
  </si>
  <si>
    <t>Declaro que recebi do empregado acima qualificado, o valor líquido de R$916,33 (Novecentos e Dezesseis Reais e Trinta e Três Centavos).</t>
  </si>
  <si>
    <t>Adiantamento....................................................................</t>
  </si>
  <si>
    <t>Declaro que recebi do empregado acima qualificado, o valor líquido de R$1346,27 (Hum Mil Trezentos e Quarenta e Seis, Reais e Vinte e Sete Centavos).</t>
  </si>
  <si>
    <t>Salário Base 01/01/2023 à 24/01/2023......................................</t>
  </si>
  <si>
    <t>Combustível (9 dias)..........................................................................</t>
  </si>
  <si>
    <t>Compras 3/3............................................................................</t>
  </si>
  <si>
    <t>Declaro que recebi do empregado acima qualificado, o valor líquido de R$ 3408,01.</t>
  </si>
  <si>
    <t>Salário Base 01/01/2023 à 31/01/2023............................</t>
  </si>
  <si>
    <t>Combustível ......................................................................</t>
  </si>
  <si>
    <t>Declaro que recebi do empregado acima qualificado, o valor líquido de R$ 2426,65.</t>
  </si>
  <si>
    <t>Combustível.......................................................................................</t>
  </si>
  <si>
    <t>Declaro que recebi do empregado acima qualificado, o valor líquido de R$2575,53</t>
  </si>
  <si>
    <t>Declaro que recebi do empregado acima qualificado, o valor líquido de R$ 2196,38.</t>
  </si>
  <si>
    <t>Hora Extra...............................................................................</t>
  </si>
  <si>
    <t>Hora Falta.....................................................................................</t>
  </si>
  <si>
    <t>Cabeçote - 4 de 4.....................................................................</t>
  </si>
  <si>
    <t>Declaro que recebi do empregado acima qualificado, o valor líquido de R$ 1189,06.</t>
  </si>
  <si>
    <t>Declaro que recebi do empregado acima qualificado, o valor líquido de R$1531,36.</t>
  </si>
  <si>
    <t>Empregado: DEBORA ROSA SABIN DA SILVA DINO</t>
  </si>
  <si>
    <t>Salário Base 01/02/2026 à 28/02/2026......................................</t>
  </si>
  <si>
    <t>..........................................................................</t>
  </si>
  <si>
    <t>HORAS FALTAS...................................................................</t>
  </si>
  <si>
    <t>VALE............................................................................</t>
  </si>
  <si>
    <t>Declaro que recebi do empregado acima qualificado, o valor líquido de R$ 2.109,54</t>
  </si>
  <si>
    <t>DEBORA ROSA SABIN DA S. DINO</t>
  </si>
  <si>
    <t>Empregado: JOÃO PEDRO LEAL</t>
  </si>
  <si>
    <t>Salário Base 01/02/2026 à 28/02/2026............................</t>
  </si>
  <si>
    <t>PRODUÇÃO................................................................................</t>
  </si>
  <si>
    <t>CESTA ......................................................................</t>
  </si>
  <si>
    <t xml:space="preserve"> ......................................................................</t>
  </si>
  <si>
    <t>HORA EXT ......................................................................</t>
  </si>
  <si>
    <t>INSS....................................................................</t>
  </si>
  <si>
    <t>VALE....................................................................</t>
  </si>
  <si>
    <t>HORAS FALTAS....................................................................</t>
  </si>
  <si>
    <t>FARMACIA....................................................................</t>
  </si>
  <si>
    <t>Declaro que recebi do empregado acima qualificado, o valor líquido de R$1.057,62</t>
  </si>
  <si>
    <t>JOÃO PEDRO LEAL</t>
  </si>
  <si>
    <t>Empregado: KAYKY FELIPE DE OLIVEIRA VERDUM</t>
  </si>
  <si>
    <t>Produção.......................................................................................</t>
  </si>
  <si>
    <t>.......................................................................................</t>
  </si>
  <si>
    <t>HRS FALTA..........................................................................................</t>
  </si>
  <si>
    <t>vale..........................................................................................</t>
  </si>
  <si>
    <t>Declaro que recebi do empregado acima qualificado, o valor líquido de R$1476,99</t>
  </si>
  <si>
    <t>KAYKY FELIPE DE OLIVEIRA VERDUM</t>
  </si>
  <si>
    <t>Empregado: KEVIN EDUARDO</t>
  </si>
  <si>
    <t>................................................................................</t>
  </si>
  <si>
    <t>Declaro que recebi do empregado acima qualificado, o valor líquido de R$ 1071,00.</t>
  </si>
  <si>
    <t>KEVIN EDUARDO</t>
  </si>
  <si>
    <t>Empregado:THIAGO CEZAR DE SOUZA</t>
  </si>
  <si>
    <t>Empregado: THIAGO CEZAR DE SOUZA</t>
  </si>
  <si>
    <t>CARTÃO + 500,00 04X06 R$ 383,33.....................................................................................</t>
  </si>
  <si>
    <t>FARMACIA.......................................................................................</t>
  </si>
  <si>
    <t>CREATINA</t>
  </si>
  <si>
    <t>ADIANTAMENTO</t>
  </si>
  <si>
    <t>Declaro que recebi do empregado acima qualificado, o valor líquido de R$ 2226,14.</t>
  </si>
  <si>
    <t>THIAGO CEZAR DE SOUZAH. DA S. OLIVEIRA</t>
  </si>
  <si>
    <t>Salário Base 01/04/2026 à 30/04/2026......................................</t>
  </si>
  <si>
    <t>1/3 FÉRIAS................................................................................</t>
  </si>
  <si>
    <t>INSS........293,09 Férias + 27,86..................................................................................</t>
  </si>
  <si>
    <t>Declaro que recebi do empregado acima qualificado, o valor líquido de R$ 2.796,63</t>
  </si>
  <si>
    <t>Declaro que recebi do empregado acima qualificado, o valor líquido de R$2.796,63</t>
  </si>
  <si>
    <t xml:space="preserve">Empregado: </t>
  </si>
  <si>
    <t>Salário Base ............................</t>
  </si>
  <si>
    <t>Declaro que recebi do empregado acima qualificado, o valor líquido de R$</t>
  </si>
  <si>
    <t>Salário Base 01/04/2026 à 30/04/2026............................</t>
  </si>
  <si>
    <t>FARMACIA..........................................................................................</t>
  </si>
  <si>
    <t>Declaro que recebi do empregado acima qualificado, o valor líquido de R$1416,19</t>
  </si>
  <si>
    <t>FALTAS...........................4 DIAS R$54,03 CADA FALTA...............................................................</t>
  </si>
  <si>
    <t>Declaro que recebi do empregado acima qualificado, o valor líquido de R$ 919,87</t>
  </si>
  <si>
    <t>Salário Base 01/03/2026 à 31/03/2026............................</t>
  </si>
  <si>
    <t>Hora Extra.................7:00..............................................................</t>
  </si>
  <si>
    <t>CARTÃO + 500,00 04X06 R$ 383,33 (pausado p/ mes 06) .....................................................................................</t>
  </si>
  <si>
    <t>Declaro que recebi do empregado acima qualificado, o valor líquido de R$ 2.113,26.</t>
  </si>
  <si>
    <t>Salário Base 01/03/2026 à 31/03/2026......................................</t>
  </si>
  <si>
    <t>Declaro que recebi do empregado acima qualificado, o valor líquido de R$ 2.129,98</t>
  </si>
  <si>
    <t>Declaro que recebi do empregado acima qualificado, o valor líquido de R$1493,48</t>
  </si>
  <si>
    <t>Declaro que recebi do empregado acima qualificado, o valor líquido de R$ 1139,42</t>
  </si>
  <si>
    <t>Declaro que recebi do empregado acima qualificado, o valor líquido de R$ 2.119,35.</t>
  </si>
  <si>
    <t>Salário Base 01/04/2026 à 31/04/2026............................</t>
  </si>
  <si>
    <t>INSS..............+ 1,58 INSS DIFERENCIA............................................................................</t>
  </si>
  <si>
    <t>Salário Base 01/05/2026 à 31/05/2026......................................</t>
  </si>
  <si>
    <t>Salário Base 01/05/2026 à 31/05/2026............................</t>
  </si>
  <si>
    <t>Declaro que recebi do empregado acima qualificado, o valor líquido de R$1330,56</t>
  </si>
  <si>
    <t>FALTAS..........................................................................................</t>
  </si>
  <si>
    <t>Declaro que recebi do empregado acima qualificado, o valor líquido de R$ 1.054,86</t>
  </si>
  <si>
    <t>Hora Extra.................15:19..............................................................</t>
  </si>
  <si>
    <t>CARTÃO + 500,00 05X06 R$ 383,33  .....................................................................................</t>
  </si>
  <si>
    <t xml:space="preserve">MER LIVRE PEÇAS CARRO 01 X 10  R$ 49,39 + R$ 76,50  </t>
  </si>
  <si>
    <t>Declaro que recebi do empregado acima qualificado, o valor líquido de R$ 2.180,27.</t>
  </si>
  <si>
    <t>FARMACIA............................................................................</t>
  </si>
  <si>
    <t>Declaro que recebi do empregado acima qualificado, o valor líquido de R$ 2.076,74</t>
  </si>
  <si>
    <t>cesta................................................................................</t>
  </si>
  <si>
    <t>CESTA.......................................................................................</t>
  </si>
  <si>
    <t>HORAS FALTAS JOGO BRASIL...................................................................</t>
  </si>
  <si>
    <t>Salário Base 01/06/2026 à 30/06/2026......................................</t>
  </si>
  <si>
    <t>HRS FALTA JOGO DO BRASIL + HORA FALTA.....3:35.....................................................................................</t>
  </si>
  <si>
    <t>Salário Base 01/06/2026 à 30/06/2026............................</t>
  </si>
  <si>
    <t>Declaro que recebi do empregado acima qualificado, o valor líquido de R$ 2.087,83</t>
  </si>
  <si>
    <t>Declaro que recebi do empregado acima qualificado, o valor líquido de R$1771,17</t>
  </si>
  <si>
    <t>Declaro que recebi do empregado acima qualificado, o valor líquido de R$ 1.344,34</t>
  </si>
  <si>
    <t>CARTÃO + 500,00 06X06 R$ 383,33  .....................................................................................</t>
  </si>
  <si>
    <t xml:space="preserve">MER LIVRE PEÇAS CARRO 02 X 10  R$ 49,39 + R$ 76,50  </t>
  </si>
  <si>
    <t>HORAS FALTA JOGO  ..........2:56...........................................................................</t>
  </si>
  <si>
    <t>Hora Extra......................-..............................................</t>
  </si>
  <si>
    <t>Declaro que recebi do empregado acima qualificado, o valor líquido de R$ 2.062,10</t>
  </si>
  <si>
    <t>Declaro que recebi do empregado acima qualificado, o valor líquido de R$ 2.062,10.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</si>
</sst>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"/>
    <numFmt numFmtId="165" formatCode="mmmm\,\ yyyy;@"/>
  </numFmts>
  <fonts count="33" x14ac:knownFonts="1">
    <font>
      <sz val="11"/>
      <color theme="1" tint="0.24994659260841701"/>
      <name val="Euphemia"/>
      <scheme val="minor"/>
    </font>
    <font>
      <sz val="11"/>
      <color theme="0"/>
      <name val="Euphemia"/>
      <scheme val="minor"/>
    </font>
    <font>
      <sz val="36"/>
      <color theme="4" tint="-0.499984740745262"/>
      <name val="Century Gothic"/>
      <scheme val="major"/>
    </font>
    <font>
      <i/>
      <sz val="11"/>
      <color theme="1" tint="0.34998626667073579"/>
      <name val="Century Gothic"/>
      <scheme val="major"/>
    </font>
    <font>
      <b/>
      <i/>
      <sz val="22"/>
      <color theme="1" tint="0.34998626667073579"/>
      <name val="Century Gothic"/>
      <scheme val="major"/>
    </font>
    <font>
      <sz val="11"/>
      <color theme="1" tint="0.24994659260841701"/>
      <name val="Century Gothic"/>
      <scheme val="major"/>
    </font>
    <font>
      <sz val="11"/>
      <color theme="0"/>
      <name val="Century Gothic"/>
      <scheme val="major"/>
    </font>
    <font>
      <sz val="28"/>
      <color theme="4" tint="-0.499984740745262"/>
      <name val="Century Gothic"/>
      <scheme val="major"/>
    </font>
    <font>
      <sz val="24"/>
      <color theme="4" tint="-0.499984740745262"/>
      <name val="Century Gothic"/>
      <scheme val="major"/>
    </font>
    <font>
      <b/>
      <i/>
      <sz val="12"/>
      <color theme="1" tint="0.34998626667073579"/>
      <name val="Century Gothic"/>
      <scheme val="major"/>
    </font>
    <font>
      <b/>
      <i/>
      <sz val="14"/>
      <color theme="1" tint="0.34998626667073579"/>
      <name val="Century Gothic"/>
      <scheme val="major"/>
    </font>
    <font>
      <b/>
      <i/>
      <sz val="11"/>
      <color theme="1" tint="0.24994659260841701"/>
      <name val="Century Gothic"/>
      <scheme val="major"/>
    </font>
    <font>
      <b/>
      <i/>
      <sz val="11"/>
      <color theme="1"/>
      <name val="Century Gothic"/>
      <scheme val="major"/>
    </font>
    <font>
      <sz val="11"/>
      <color theme="1"/>
      <name val="Century Gothic"/>
      <scheme val="major"/>
    </font>
    <font>
      <b/>
      <i/>
      <sz val="11"/>
      <color theme="0"/>
      <name val="Century Gothic"/>
      <scheme val="major"/>
    </font>
    <font>
      <b/>
      <sz val="11"/>
      <color theme="1" tint="0.24994659260841701"/>
      <name val="Century Gothic"/>
      <scheme val="major"/>
    </font>
    <font>
      <sz val="11"/>
      <color theme="1" tint="0.24994659260841701"/>
      <name val="Century Gothic"/>
    </font>
    <font>
      <b/>
      <sz val="11"/>
      <color theme="1" tint="0.24994659260841701"/>
      <name val="Euphemia"/>
      <scheme val="minor"/>
    </font>
    <font>
      <sz val="48"/>
      <color theme="4" tint="-0.499984740745262"/>
      <name val="Century Gothic"/>
      <scheme val="major"/>
    </font>
    <font>
      <sz val="14"/>
      <color theme="4" tint="-0.499984740745262"/>
      <name val="Century Gothic"/>
      <scheme val="major"/>
    </font>
    <font>
      <b/>
      <u/>
      <sz val="14"/>
      <color theme="1" tint="0.34998626667073579"/>
      <name val="Century Gothic"/>
      <scheme val="major"/>
    </font>
    <font>
      <b/>
      <sz val="14"/>
      <color theme="1" tint="0.34998626667073579"/>
      <name val="Century Gothic"/>
      <scheme val="major"/>
    </font>
    <font>
      <sz val="11"/>
      <color theme="1" tint="0.34998626667073579"/>
      <name val="Century Gothic"/>
      <scheme val="major"/>
    </font>
    <font>
      <sz val="14"/>
      <color theme="1" tint="0.34998626667073579"/>
      <name val="Century Gothic"/>
      <scheme val="major"/>
    </font>
    <font>
      <b/>
      <sz val="11"/>
      <color theme="1" tint="0.34998626667073579"/>
      <name val="Century Gothic"/>
      <scheme val="major"/>
    </font>
    <font>
      <sz val="11"/>
      <color theme="4" tint="-0.499984740745262"/>
      <name val="Century Gothic"/>
      <scheme val="major"/>
    </font>
    <font>
      <sz val="12"/>
      <color theme="4" tint="-0.499984740745262"/>
      <name val="Century Gothic"/>
      <scheme val="major"/>
    </font>
    <font>
      <sz val="16"/>
      <color theme="4" tint="-0.499984740745262"/>
      <name val="Century Gothic"/>
      <scheme val="major"/>
    </font>
    <font>
      <sz val="12"/>
      <color theme="1" tint="0.34998626667073579"/>
      <name val="Century Gothic"/>
      <scheme val="major"/>
    </font>
    <font>
      <b/>
      <sz val="12"/>
      <color theme="1" tint="0.34998626667073579"/>
      <name val="Century Gothic"/>
      <scheme val="major"/>
    </font>
    <font>
      <sz val="10"/>
      <color theme="1" tint="0.34998626667073579"/>
      <name val="Century Gothic"/>
      <scheme val="major"/>
    </font>
    <font>
      <sz val="10"/>
      <color theme="4" tint="-0.499984740745262"/>
      <name val="Century Gothic"/>
      <scheme val="major"/>
    </font>
    <font>
      <sz val="11"/>
      <color theme="1" tint="0.24994659260841701"/>
      <name val="Euphemia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0"/>
        <bgColor theme="0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4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theme="1"/>
      </top>
      <bottom style="medium">
        <color theme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ck">
        <color theme="4"/>
      </bottom>
      <diagonal/>
    </border>
  </borders>
  <cellStyleXfs count="7">
    <xf numFmtId="0" fontId="0" fillId="0" borderId="0">
      <alignment vertical="center" wrapText="1"/>
    </xf>
    <xf numFmtId="14" fontId="32" fillId="0" borderId="0" applyFont="0" applyFill="0" applyBorder="0">
      <alignment horizontal="left" vertical="center"/>
    </xf>
    <xf numFmtId="164" fontId="32" fillId="0" borderId="0" applyFont="0" applyFill="0" applyBorder="0" applyProtection="0">
      <alignment horizontal="right" vertical="center" indent="1"/>
    </xf>
    <xf numFmtId="164" fontId="32" fillId="0" borderId="0" applyFont="0" applyFill="0" applyBorder="0" applyProtection="0">
      <alignment horizontal="right" vertical="center"/>
    </xf>
    <xf numFmtId="0" fontId="2" fillId="0" borderId="1" applyNumberFormat="0" applyFill="0" applyProtection="0">
      <alignment vertical="center"/>
    </xf>
    <xf numFmtId="0" fontId="3" fillId="0" borderId="0" applyNumberFormat="0" applyFill="0" applyProtection="0">
      <alignment vertical="center"/>
    </xf>
    <xf numFmtId="0" fontId="1" fillId="2" borderId="0">
      <alignment horizontal="center" vertical="center" wrapText="1"/>
    </xf>
  </cellStyleXfs>
  <cellXfs count="198">
    <xf numFmtId="0" fontId="0" fillId="0" borderId="0" xfId="0">
      <alignment vertical="center" wrapText="1"/>
    </xf>
    <xf numFmtId="0" fontId="2" fillId="0" borderId="1" xfId="4">
      <alignment vertical="center"/>
    </xf>
    <xf numFmtId="0" fontId="4" fillId="0" borderId="0" xfId="5" applyFont="1">
      <alignment vertical="center"/>
    </xf>
    <xf numFmtId="0" fontId="5" fillId="0" borderId="0" xfId="0" applyFont="1">
      <alignment vertical="center" wrapText="1"/>
    </xf>
    <xf numFmtId="0" fontId="5" fillId="0" borderId="0" xfId="0" applyFont="1" applyAlignment="1">
      <alignment horizontal="right" vertical="center" wrapText="1"/>
    </xf>
    <xf numFmtId="0" fontId="6" fillId="2" borderId="0" xfId="6" applyFont="1">
      <alignment horizontal="center" vertical="center" wrapText="1"/>
    </xf>
    <xf numFmtId="14" fontId="5" fillId="0" borderId="0" xfId="1" applyFont="1">
      <alignment horizontal="left" vertical="center"/>
    </xf>
    <xf numFmtId="164" fontId="5" fillId="0" borderId="0" xfId="0" applyNumberFormat="1" applyFont="1">
      <alignment vertical="center" wrapText="1"/>
    </xf>
    <xf numFmtId="164" fontId="5" fillId="0" borderId="0" xfId="2" applyFont="1">
      <alignment horizontal="right" vertical="center" indent="1"/>
    </xf>
    <xf numFmtId="164" fontId="5" fillId="0" borderId="0" xfId="3" applyFont="1">
      <alignment horizontal="right" vertical="center"/>
    </xf>
    <xf numFmtId="164" fontId="5" fillId="0" borderId="0" xfId="0" applyNumberFormat="1" applyFont="1" applyAlignment="1">
      <alignment horizontal="right" vertical="center" indent="1"/>
    </xf>
    <xf numFmtId="164" fontId="5" fillId="0" borderId="0" xfId="1" applyNumberFormat="1" applyFont="1" applyAlignment="1">
      <alignment horizontal="right" vertical="center"/>
    </xf>
    <xf numFmtId="0" fontId="11" fillId="0" borderId="0" xfId="0" applyFont="1">
      <alignment vertical="center" wrapText="1"/>
    </xf>
    <xf numFmtId="164" fontId="11" fillId="0" borderId="0" xfId="0" applyNumberFormat="1" applyFont="1" applyAlignment="1">
      <alignment horizontal="right" vertical="center" indent="1"/>
    </xf>
    <xf numFmtId="0" fontId="12" fillId="0" borderId="9" xfId="0" applyFont="1" applyBorder="1">
      <alignment vertical="center" wrapText="1"/>
    </xf>
    <xf numFmtId="0" fontId="13" fillId="0" borderId="9" xfId="0" applyFont="1" applyBorder="1">
      <alignment vertical="center" wrapText="1"/>
    </xf>
    <xf numFmtId="164" fontId="14" fillId="3" borderId="9" xfId="0" applyNumberFormat="1" applyFont="1" applyFill="1" applyBorder="1" applyAlignment="1">
      <alignment horizontal="right" vertical="center" indent="1"/>
    </xf>
    <xf numFmtId="164" fontId="15" fillId="0" borderId="0" xfId="0" applyNumberFormat="1" applyFont="1">
      <alignment vertical="center" wrapText="1"/>
    </xf>
    <xf numFmtId="164" fontId="16" fillId="0" borderId="0" xfId="0" applyNumberFormat="1" applyFont="1">
      <alignment vertical="center" wrapText="1"/>
    </xf>
    <xf numFmtId="0" fontId="15" fillId="0" borderId="0" xfId="0" applyFont="1">
      <alignment vertical="center" wrapText="1"/>
    </xf>
    <xf numFmtId="0" fontId="16" fillId="0" borderId="0" xfId="0" applyFont="1">
      <alignment vertical="center" wrapText="1"/>
    </xf>
    <xf numFmtId="164" fontId="0" fillId="0" borderId="0" xfId="0" applyNumberFormat="1">
      <alignment vertical="center" wrapText="1"/>
    </xf>
    <xf numFmtId="164" fontId="15" fillId="0" borderId="0" xfId="0" applyNumberFormat="1" applyFont="1" applyAlignment="1">
      <alignment horizontal="right" vertical="center" indent="1"/>
    </xf>
    <xf numFmtId="0" fontId="17" fillId="0" borderId="0" xfId="0" applyFont="1">
      <alignment vertical="center" wrapText="1"/>
    </xf>
    <xf numFmtId="0" fontId="2" fillId="0" borderId="0" xfId="4" applyBorder="1" applyAlignment="1">
      <alignment horizontal="center" vertical="center"/>
    </xf>
    <xf numFmtId="0" fontId="22" fillId="0" borderId="0" xfId="5" applyFont="1" applyAlignment="1">
      <alignment horizontal="left" vertical="center"/>
    </xf>
    <xf numFmtId="164" fontId="22" fillId="0" borderId="14" xfId="5" applyNumberFormat="1" applyFont="1" applyBorder="1">
      <alignment vertical="center"/>
    </xf>
    <xf numFmtId="0" fontId="21" fillId="0" borderId="13" xfId="5" applyFont="1" applyBorder="1" applyAlignment="1">
      <alignment horizontal="left" vertical="center"/>
    </xf>
    <xf numFmtId="0" fontId="21" fillId="0" borderId="0" xfId="5" applyFont="1" applyAlignment="1">
      <alignment horizontal="left" vertical="center"/>
    </xf>
    <xf numFmtId="164" fontId="23" fillId="0" borderId="14" xfId="5" applyNumberFormat="1" applyFont="1" applyBorder="1">
      <alignment vertical="center"/>
    </xf>
    <xf numFmtId="164" fontId="24" fillId="0" borderId="17" xfId="5" applyNumberFormat="1" applyFont="1" applyBorder="1">
      <alignment vertical="center"/>
    </xf>
    <xf numFmtId="165" fontId="25" fillId="0" borderId="0" xfId="4" applyNumberFormat="1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5" fontId="26" fillId="0" borderId="0" xfId="4" applyNumberFormat="1" applyFont="1" applyBorder="1" applyAlignment="1">
      <alignment horizontal="left" vertical="center" wrapText="1"/>
    </xf>
    <xf numFmtId="165" fontId="26" fillId="0" borderId="0" xfId="4" applyNumberFormat="1" applyFont="1" applyBorder="1" applyAlignment="1">
      <alignment horizontal="center" wrapText="1"/>
    </xf>
    <xf numFmtId="165" fontId="26" fillId="0" borderId="16" xfId="4" applyNumberFormat="1" applyFont="1" applyBorder="1" applyAlignment="1">
      <alignment horizontal="left" vertical="center" wrapText="1"/>
    </xf>
    <xf numFmtId="165" fontId="8" fillId="0" borderId="0" xfId="4" applyNumberFormat="1" applyFont="1" applyBorder="1">
      <alignment vertical="center"/>
    </xf>
    <xf numFmtId="165" fontId="27" fillId="0" borderId="0" xfId="4" applyNumberFormat="1" applyFont="1" applyBorder="1" applyAlignment="1">
      <alignment horizontal="center" vertical="center"/>
    </xf>
    <xf numFmtId="165" fontId="25" fillId="0" borderId="0" xfId="4" applyNumberFormat="1" applyFont="1" applyBorder="1" applyAlignment="1">
      <alignment vertical="center" wrapText="1"/>
    </xf>
    <xf numFmtId="165" fontId="26" fillId="0" borderId="0" xfId="4" applyNumberFormat="1" applyFont="1" applyBorder="1" applyAlignment="1">
      <alignment vertical="center" wrapText="1"/>
    </xf>
    <xf numFmtId="165" fontId="27" fillId="0" borderId="0" xfId="4" applyNumberFormat="1" applyFont="1" applyBorder="1">
      <alignment vertical="center"/>
    </xf>
    <xf numFmtId="164" fontId="28" fillId="0" borderId="14" xfId="5" applyNumberFormat="1" applyFont="1" applyBorder="1">
      <alignment vertical="center"/>
    </xf>
    <xf numFmtId="164" fontId="29" fillId="0" borderId="17" xfId="5" applyNumberFormat="1" applyFont="1" applyBorder="1">
      <alignment vertical="center"/>
    </xf>
    <xf numFmtId="165" fontId="27" fillId="0" borderId="11" xfId="4" applyNumberFormat="1" applyFont="1" applyBorder="1">
      <alignment vertical="center"/>
    </xf>
    <xf numFmtId="165" fontId="27" fillId="0" borderId="0" xfId="4" applyNumberFormat="1" applyFont="1" applyBorder="1" applyAlignment="1">
      <alignment horizontal="right" vertical="center"/>
    </xf>
    <xf numFmtId="164" fontId="22" fillId="0" borderId="0" xfId="5" applyNumberFormat="1" applyFont="1">
      <alignment vertical="center"/>
    </xf>
    <xf numFmtId="164" fontId="23" fillId="0" borderId="0" xfId="5" applyNumberFormat="1" applyFont="1">
      <alignment vertical="center"/>
    </xf>
    <xf numFmtId="164" fontId="24" fillId="0" borderId="0" xfId="5" applyNumberFormat="1" applyFont="1">
      <alignment vertical="center"/>
    </xf>
    <xf numFmtId="0" fontId="0" fillId="4" borderId="0" xfId="0" applyFill="1">
      <alignment vertical="center" wrapText="1"/>
    </xf>
    <xf numFmtId="0" fontId="2" fillId="4" borderId="0" xfId="4" applyFill="1" applyBorder="1" applyAlignment="1">
      <alignment horizontal="center" vertical="center"/>
    </xf>
    <xf numFmtId="164" fontId="22" fillId="4" borderId="14" xfId="5" applyNumberFormat="1" applyFont="1" applyFill="1" applyBorder="1">
      <alignment vertical="center"/>
    </xf>
    <xf numFmtId="164" fontId="23" fillId="4" borderId="14" xfId="5" applyNumberFormat="1" applyFont="1" applyFill="1" applyBorder="1">
      <alignment vertical="center"/>
    </xf>
    <xf numFmtId="164" fontId="24" fillId="4" borderId="17" xfId="5" applyNumberFormat="1" applyFont="1" applyFill="1" applyBorder="1">
      <alignment vertical="center"/>
    </xf>
    <xf numFmtId="165" fontId="25" fillId="4" borderId="0" xfId="4" applyNumberFormat="1" applyFont="1" applyFill="1" applyBorder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165" fontId="26" fillId="4" borderId="0" xfId="4" applyNumberFormat="1" applyFont="1" applyFill="1" applyBorder="1" applyAlignment="1">
      <alignment horizontal="left" vertical="center" wrapText="1"/>
    </xf>
    <xf numFmtId="165" fontId="26" fillId="4" borderId="0" xfId="4" applyNumberFormat="1" applyFont="1" applyFill="1" applyBorder="1" applyAlignment="1">
      <alignment horizontal="center" wrapText="1"/>
    </xf>
    <xf numFmtId="165" fontId="26" fillId="4" borderId="16" xfId="4" applyNumberFormat="1" applyFont="1" applyFill="1" applyBorder="1" applyAlignment="1">
      <alignment horizontal="left" vertical="center" wrapText="1"/>
    </xf>
    <xf numFmtId="165" fontId="8" fillId="4" borderId="0" xfId="4" applyNumberFormat="1" applyFont="1" applyFill="1" applyBorder="1">
      <alignment vertical="center"/>
    </xf>
    <xf numFmtId="164" fontId="28" fillId="4" borderId="14" xfId="5" applyNumberFormat="1" applyFont="1" applyFill="1" applyBorder="1">
      <alignment vertical="center"/>
    </xf>
    <xf numFmtId="164" fontId="28" fillId="4" borderId="14" xfId="5" quotePrefix="1" applyNumberFormat="1" applyFont="1" applyFill="1" applyBorder="1">
      <alignment vertical="center"/>
    </xf>
    <xf numFmtId="165" fontId="25" fillId="4" borderId="0" xfId="4" applyNumberFormat="1" applyFont="1" applyFill="1" applyBorder="1" applyAlignment="1">
      <alignment vertical="center" wrapText="1"/>
    </xf>
    <xf numFmtId="165" fontId="27" fillId="4" borderId="0" xfId="4" applyNumberFormat="1" applyFont="1" applyFill="1" applyBorder="1">
      <alignment vertical="center"/>
    </xf>
    <xf numFmtId="164" fontId="22" fillId="0" borderId="14" xfId="5" applyNumberFormat="1" applyFont="1" applyBorder="1" applyAlignment="1"/>
    <xf numFmtId="164" fontId="23" fillId="0" borderId="14" xfId="5" applyNumberFormat="1" applyFont="1" applyBorder="1" applyAlignment="1"/>
    <xf numFmtId="164" fontId="24" fillId="0" borderId="17" xfId="5" applyNumberFormat="1" applyFont="1" applyBorder="1" applyAlignment="1"/>
    <xf numFmtId="0" fontId="0" fillId="5" borderId="0" xfId="0" applyFill="1">
      <alignment vertical="center" wrapText="1"/>
    </xf>
    <xf numFmtId="0" fontId="2" fillId="5" borderId="0" xfId="4" applyFill="1" applyBorder="1" applyAlignment="1">
      <alignment horizontal="center" vertical="center"/>
    </xf>
    <xf numFmtId="164" fontId="22" fillId="5" borderId="14" xfId="5" applyNumberFormat="1" applyFont="1" applyFill="1" applyBorder="1">
      <alignment vertical="center"/>
    </xf>
    <xf numFmtId="164" fontId="23" fillId="5" borderId="14" xfId="5" applyNumberFormat="1" applyFont="1" applyFill="1" applyBorder="1">
      <alignment vertical="center"/>
    </xf>
    <xf numFmtId="164" fontId="24" fillId="5" borderId="17" xfId="5" applyNumberFormat="1" applyFont="1" applyFill="1" applyBorder="1">
      <alignment vertical="center"/>
    </xf>
    <xf numFmtId="165" fontId="25" fillId="5" borderId="0" xfId="4" applyNumberFormat="1" applyFont="1" applyFill="1" applyBorder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165" fontId="26" fillId="5" borderId="0" xfId="4" applyNumberFormat="1" applyFont="1" applyFill="1" applyBorder="1" applyAlignment="1">
      <alignment horizontal="left" vertical="center" wrapText="1"/>
    </xf>
    <xf numFmtId="165" fontId="26" fillId="5" borderId="0" xfId="4" applyNumberFormat="1" applyFont="1" applyFill="1" applyBorder="1" applyAlignment="1">
      <alignment horizontal="center" wrapText="1"/>
    </xf>
    <xf numFmtId="165" fontId="26" fillId="5" borderId="16" xfId="4" applyNumberFormat="1" applyFont="1" applyFill="1" applyBorder="1" applyAlignment="1">
      <alignment horizontal="left" vertical="center" wrapText="1"/>
    </xf>
    <xf numFmtId="165" fontId="27" fillId="5" borderId="0" xfId="4" applyNumberFormat="1" applyFont="1" applyFill="1" applyBorder="1" applyAlignment="1">
      <alignment horizontal="center" vertical="center"/>
    </xf>
    <xf numFmtId="165" fontId="8" fillId="5" borderId="0" xfId="4" applyNumberFormat="1" applyFont="1" applyFill="1" applyBorder="1">
      <alignment vertical="center"/>
    </xf>
    <xf numFmtId="164" fontId="28" fillId="5" borderId="14" xfId="5" applyNumberFormat="1" applyFont="1" applyFill="1" applyBorder="1">
      <alignment vertical="center"/>
    </xf>
    <xf numFmtId="164" fontId="28" fillId="5" borderId="14" xfId="5" quotePrefix="1" applyNumberFormat="1" applyFont="1" applyFill="1" applyBorder="1">
      <alignment vertical="center"/>
    </xf>
    <xf numFmtId="165" fontId="25" fillId="5" borderId="0" xfId="4" applyNumberFormat="1" applyFont="1" applyFill="1" applyBorder="1" applyAlignment="1">
      <alignment vertical="center" wrapText="1"/>
    </xf>
    <xf numFmtId="165" fontId="27" fillId="5" borderId="0" xfId="4" applyNumberFormat="1" applyFont="1" applyFill="1" applyBorder="1">
      <alignment vertical="center"/>
    </xf>
    <xf numFmtId="164" fontId="24" fillId="5" borderId="17" xfId="5" applyNumberFormat="1" applyFont="1" applyFill="1" applyBorder="1" applyAlignment="1">
      <alignment vertical="center" wrapText="1"/>
    </xf>
    <xf numFmtId="164" fontId="22" fillId="5" borderId="14" xfId="5" applyNumberFormat="1" applyFont="1" applyFill="1" applyBorder="1" applyAlignment="1">
      <alignment vertical="center" wrapText="1"/>
    </xf>
    <xf numFmtId="165" fontId="26" fillId="5" borderId="0" xfId="4" applyNumberFormat="1" applyFont="1" applyFill="1" applyBorder="1" applyAlignment="1">
      <alignment wrapText="1"/>
    </xf>
    <xf numFmtId="0" fontId="10" fillId="0" borderId="6" xfId="5" applyFont="1" applyBorder="1" applyAlignment="1">
      <alignment horizontal="left" vertical="center"/>
    </xf>
    <xf numFmtId="0" fontId="10" fillId="0" borderId="7" xfId="5" applyFont="1" applyBorder="1" applyAlignment="1">
      <alignment horizontal="left" vertical="center"/>
    </xf>
    <xf numFmtId="0" fontId="10" fillId="0" borderId="8" xfId="5" applyFont="1" applyBorder="1" applyAlignment="1">
      <alignment horizontal="left" vertical="center"/>
    </xf>
    <xf numFmtId="164" fontId="10" fillId="0" borderId="6" xfId="5" applyNumberFormat="1" applyFont="1" applyBorder="1" applyAlignment="1">
      <alignment horizontal="left" vertical="center"/>
    </xf>
    <xf numFmtId="164" fontId="10" fillId="0" borderId="8" xfId="5" applyNumberFormat="1" applyFont="1" applyBorder="1" applyAlignment="1">
      <alignment horizontal="left" vertical="center"/>
    </xf>
    <xf numFmtId="0" fontId="7" fillId="0" borderId="1" xfId="4" applyFont="1" applyAlignment="1">
      <alignment horizontal="left" vertical="center"/>
    </xf>
    <xf numFmtId="165" fontId="8" fillId="0" borderId="2" xfId="4" applyNumberFormat="1" applyFont="1" applyBorder="1" applyAlignment="1">
      <alignment horizontal="right" vertical="center"/>
    </xf>
    <xf numFmtId="0" fontId="9" fillId="0" borderId="3" xfId="5" applyFont="1" applyBorder="1" applyAlignment="1">
      <alignment horizontal="left" vertical="center"/>
    </xf>
    <xf numFmtId="0" fontId="9" fillId="0" borderId="4" xfId="5" applyFont="1" applyBorder="1" applyAlignment="1">
      <alignment horizontal="left" vertical="center"/>
    </xf>
    <xf numFmtId="0" fontId="9" fillId="0" borderId="5" xfId="5" applyFont="1" applyBorder="1" applyAlignment="1">
      <alignment horizontal="left" vertical="center"/>
    </xf>
    <xf numFmtId="0" fontId="9" fillId="0" borderId="3" xfId="5" applyFont="1" applyBorder="1" applyAlignment="1">
      <alignment horizontal="center" vertical="center"/>
    </xf>
    <xf numFmtId="0" fontId="9" fillId="0" borderId="5" xfId="5" applyFont="1" applyBorder="1" applyAlignment="1">
      <alignment horizontal="center" vertical="center"/>
    </xf>
    <xf numFmtId="0" fontId="22" fillId="0" borderId="13" xfId="5" applyFont="1" applyBorder="1" applyAlignment="1">
      <alignment horizontal="left" vertical="center"/>
    </xf>
    <xf numFmtId="0" fontId="22" fillId="0" borderId="0" xfId="5" applyFont="1" applyAlignment="1">
      <alignment horizontal="left" vertical="center"/>
    </xf>
    <xf numFmtId="0" fontId="21" fillId="0" borderId="13" xfId="5" applyFont="1" applyBorder="1" applyAlignment="1">
      <alignment horizontal="left" vertical="center"/>
    </xf>
    <xf numFmtId="0" fontId="21" fillId="0" borderId="0" xfId="5" applyFont="1" applyAlignment="1">
      <alignment horizontal="left" vertical="center"/>
    </xf>
    <xf numFmtId="165" fontId="27" fillId="0" borderId="0" xfId="4" applyNumberFormat="1" applyFont="1" applyBorder="1" applyAlignment="1">
      <alignment horizontal="right" vertical="center"/>
    </xf>
    <xf numFmtId="0" fontId="18" fillId="0" borderId="0" xfId="4" applyFont="1" applyBorder="1" applyAlignment="1">
      <alignment horizontal="center" vertical="center"/>
    </xf>
    <xf numFmtId="165" fontId="25" fillId="0" borderId="0" xfId="4" applyNumberFormat="1" applyFont="1" applyBorder="1" applyAlignment="1">
      <alignment horizontal="left" vertical="center" wrapText="1"/>
    </xf>
    <xf numFmtId="0" fontId="24" fillId="0" borderId="15" xfId="5" applyFont="1" applyBorder="1" applyAlignment="1">
      <alignment horizontal="left" vertical="center"/>
    </xf>
    <xf numFmtId="0" fontId="24" fillId="0" borderId="16" xfId="5" applyFont="1" applyBorder="1" applyAlignment="1">
      <alignment horizontal="left" vertical="center"/>
    </xf>
    <xf numFmtId="0" fontId="28" fillId="0" borderId="13" xfId="5" applyFont="1" applyBorder="1" applyAlignment="1">
      <alignment horizontal="left" vertical="center"/>
    </xf>
    <xf numFmtId="0" fontId="28" fillId="0" borderId="0" xfId="5" applyFont="1" applyAlignment="1">
      <alignment horizontal="left" vertical="center"/>
    </xf>
    <xf numFmtId="165" fontId="27" fillId="0" borderId="11" xfId="4" applyNumberFormat="1" applyFont="1" applyBorder="1" applyAlignment="1">
      <alignment horizontal="center" vertical="center"/>
    </xf>
    <xf numFmtId="165" fontId="26" fillId="0" borderId="0" xfId="4" applyNumberFormat="1" applyFont="1" applyBorder="1" applyAlignment="1">
      <alignment horizontal="center" wrapText="1"/>
    </xf>
    <xf numFmtId="165" fontId="19" fillId="0" borderId="0" xfId="4" applyNumberFormat="1" applyFont="1" applyBorder="1" applyAlignment="1">
      <alignment horizontal="left" vertical="center"/>
    </xf>
    <xf numFmtId="0" fontId="21" fillId="0" borderId="10" xfId="5" applyFont="1" applyBorder="1" applyAlignment="1">
      <alignment horizontal="left" vertical="center"/>
    </xf>
    <xf numFmtId="0" fontId="21" fillId="0" borderId="11" xfId="5" applyFont="1" applyBorder="1" applyAlignment="1">
      <alignment horizontal="left" vertical="center"/>
    </xf>
    <xf numFmtId="0" fontId="21" fillId="0" borderId="12" xfId="5" applyFont="1" applyBorder="1" applyAlignment="1">
      <alignment horizontal="left" vertical="center"/>
    </xf>
    <xf numFmtId="0" fontId="20" fillId="0" borderId="6" xfId="5" applyFont="1" applyBorder="1" applyAlignment="1">
      <alignment horizontal="left" vertical="center"/>
    </xf>
    <xf numFmtId="0" fontId="20" fillId="0" borderId="7" xfId="5" applyFont="1" applyBorder="1" applyAlignment="1">
      <alignment horizontal="left" vertical="center"/>
    </xf>
    <xf numFmtId="0" fontId="20" fillId="0" borderId="8" xfId="5" applyFont="1" applyBorder="1" applyAlignment="1">
      <alignment horizontal="left" vertical="center"/>
    </xf>
    <xf numFmtId="0" fontId="29" fillId="0" borderId="15" xfId="5" applyFont="1" applyBorder="1" applyAlignment="1">
      <alignment horizontal="left" vertical="center"/>
    </xf>
    <xf numFmtId="0" fontId="29" fillId="0" borderId="16" xfId="5" applyFont="1" applyBorder="1" applyAlignment="1">
      <alignment horizontal="left" vertical="center"/>
    </xf>
    <xf numFmtId="165" fontId="27" fillId="0" borderId="0" xfId="4" applyNumberFormat="1" applyFont="1" applyBorder="1" applyAlignment="1">
      <alignment horizontal="center" vertical="center"/>
    </xf>
    <xf numFmtId="0" fontId="24" fillId="0" borderId="0" xfId="5" applyFont="1" applyAlignment="1">
      <alignment horizontal="left" vertical="center"/>
    </xf>
    <xf numFmtId="0" fontId="30" fillId="0" borderId="13" xfId="5" applyFont="1" applyBorder="1" applyAlignment="1">
      <alignment horizontal="left" vertical="center"/>
    </xf>
    <xf numFmtId="0" fontId="30" fillId="0" borderId="0" xfId="5" applyFont="1" applyAlignment="1">
      <alignment horizontal="left" vertical="center"/>
    </xf>
    <xf numFmtId="0" fontId="20" fillId="0" borderId="0" xfId="5" applyFont="1" applyAlignment="1">
      <alignment horizontal="left" vertical="center"/>
    </xf>
    <xf numFmtId="165" fontId="31" fillId="0" borderId="0" xfId="4" applyNumberFormat="1" applyFont="1" applyBorder="1" applyAlignment="1">
      <alignment horizontal="left" vertical="center" wrapText="1"/>
    </xf>
    <xf numFmtId="0" fontId="22" fillId="0" borderId="13" xfId="5" applyFont="1" applyBorder="1" applyAlignment="1">
      <alignment horizontal="left"/>
    </xf>
    <xf numFmtId="0" fontId="22" fillId="0" borderId="0" xfId="5" applyFont="1" applyAlignment="1">
      <alignment horizontal="left"/>
    </xf>
    <xf numFmtId="0" fontId="24" fillId="0" borderId="15" xfId="5" applyFont="1" applyBorder="1" applyAlignment="1">
      <alignment horizontal="left"/>
    </xf>
    <xf numFmtId="0" fontId="24" fillId="0" borderId="16" xfId="5" applyFont="1" applyBorder="1" applyAlignment="1">
      <alignment horizontal="left"/>
    </xf>
    <xf numFmtId="0" fontId="21" fillId="0" borderId="13" xfId="5" applyFont="1" applyBorder="1" applyAlignment="1">
      <alignment horizontal="left"/>
    </xf>
    <xf numFmtId="0" fontId="21" fillId="0" borderId="0" xfId="5" applyFont="1" applyAlignment="1">
      <alignment horizontal="left"/>
    </xf>
    <xf numFmtId="0" fontId="21" fillId="0" borderId="6" xfId="5" applyFont="1" applyBorder="1" applyAlignment="1">
      <alignment horizontal="center"/>
    </xf>
    <xf numFmtId="0" fontId="21" fillId="0" borderId="7" xfId="5" applyFont="1" applyBorder="1" applyAlignment="1">
      <alignment horizontal="center"/>
    </xf>
    <xf numFmtId="0" fontId="21" fillId="0" borderId="8" xfId="5" applyFont="1" applyBorder="1" applyAlignment="1">
      <alignment horizontal="center"/>
    </xf>
    <xf numFmtId="0" fontId="21" fillId="0" borderId="10" xfId="5" applyFont="1" applyBorder="1" applyAlignment="1">
      <alignment horizontal="left"/>
    </xf>
    <xf numFmtId="0" fontId="21" fillId="0" borderId="11" xfId="5" applyFont="1" applyBorder="1" applyAlignment="1">
      <alignment horizontal="left"/>
    </xf>
    <xf numFmtId="0" fontId="21" fillId="0" borderId="12" xfId="5" applyFont="1" applyBorder="1" applyAlignment="1">
      <alignment horizontal="left"/>
    </xf>
    <xf numFmtId="165" fontId="26" fillId="4" borderId="0" xfId="4" applyNumberFormat="1" applyFont="1" applyFill="1" applyBorder="1" applyAlignment="1">
      <alignment horizontal="center" wrapText="1"/>
    </xf>
    <xf numFmtId="165" fontId="27" fillId="4" borderId="0" xfId="4" applyNumberFormat="1" applyFont="1" applyFill="1" applyBorder="1" applyAlignment="1">
      <alignment horizontal="center" vertical="center"/>
    </xf>
    <xf numFmtId="165" fontId="27" fillId="4" borderId="1" xfId="4" applyNumberFormat="1" applyFont="1" applyFill="1" applyAlignment="1">
      <alignment horizontal="center" vertical="center"/>
    </xf>
    <xf numFmtId="0" fontId="22" fillId="4" borderId="13" xfId="5" applyFont="1" applyFill="1" applyBorder="1" applyAlignment="1">
      <alignment horizontal="left" vertical="center"/>
    </xf>
    <xf numFmtId="0" fontId="22" fillId="4" borderId="0" xfId="5" applyFont="1" applyFill="1" applyAlignment="1">
      <alignment horizontal="left" vertical="center"/>
    </xf>
    <xf numFmtId="0" fontId="24" fillId="4" borderId="15" xfId="5" applyFont="1" applyFill="1" applyBorder="1" applyAlignment="1">
      <alignment horizontal="left" vertical="center"/>
    </xf>
    <xf numFmtId="0" fontId="24" fillId="4" borderId="16" xfId="5" applyFont="1" applyFill="1" applyBorder="1" applyAlignment="1">
      <alignment horizontal="left" vertical="center"/>
    </xf>
    <xf numFmtId="165" fontId="25" fillId="4" borderId="0" xfId="4" applyNumberFormat="1" applyFont="1" applyFill="1" applyBorder="1" applyAlignment="1">
      <alignment horizontal="left" vertical="center" wrapText="1"/>
    </xf>
    <xf numFmtId="165" fontId="25" fillId="4" borderId="1" xfId="4" applyNumberFormat="1" applyFont="1" applyFill="1" applyAlignment="1">
      <alignment horizontal="left" vertical="center" wrapText="1"/>
    </xf>
    <xf numFmtId="0" fontId="21" fillId="4" borderId="13" xfId="5" applyFont="1" applyFill="1" applyBorder="1" applyAlignment="1">
      <alignment horizontal="left" vertical="center"/>
    </xf>
    <xf numFmtId="0" fontId="21" fillId="4" borderId="0" xfId="5" applyFont="1" applyFill="1" applyAlignment="1">
      <alignment horizontal="left" vertical="center"/>
    </xf>
    <xf numFmtId="0" fontId="20" fillId="4" borderId="6" xfId="5" applyFont="1" applyFill="1" applyBorder="1" applyAlignment="1">
      <alignment horizontal="left" vertical="center"/>
    </xf>
    <xf numFmtId="0" fontId="20" fillId="4" borderId="7" xfId="5" applyFont="1" applyFill="1" applyBorder="1" applyAlignment="1">
      <alignment horizontal="left" vertical="center"/>
    </xf>
    <xf numFmtId="0" fontId="20" fillId="4" borderId="8" xfId="5" applyFont="1" applyFill="1" applyBorder="1" applyAlignment="1">
      <alignment horizontal="left" vertical="center"/>
    </xf>
    <xf numFmtId="0" fontId="21" fillId="4" borderId="10" xfId="5" applyFont="1" applyFill="1" applyBorder="1" applyAlignment="1">
      <alignment horizontal="left" vertical="center"/>
    </xf>
    <xf numFmtId="0" fontId="21" fillId="4" borderId="11" xfId="5" applyFont="1" applyFill="1" applyBorder="1" applyAlignment="1">
      <alignment horizontal="left" vertical="center"/>
    </xf>
    <xf numFmtId="0" fontId="21" fillId="4" borderId="12" xfId="5" applyFont="1" applyFill="1" applyBorder="1" applyAlignment="1">
      <alignment horizontal="left" vertical="center"/>
    </xf>
    <xf numFmtId="0" fontId="18" fillId="4" borderId="0" xfId="4" applyFont="1" applyFill="1" applyBorder="1" applyAlignment="1">
      <alignment horizontal="center" vertical="center"/>
    </xf>
    <xf numFmtId="165" fontId="19" fillId="4" borderId="0" xfId="4" applyNumberFormat="1" applyFont="1" applyFill="1" applyBorder="1" applyAlignment="1">
      <alignment horizontal="left" vertical="center"/>
    </xf>
    <xf numFmtId="0" fontId="29" fillId="4" borderId="15" xfId="5" applyFont="1" applyFill="1" applyBorder="1" applyAlignment="1">
      <alignment horizontal="left" vertical="center"/>
    </xf>
    <xf numFmtId="0" fontId="29" fillId="4" borderId="16" xfId="5" applyFont="1" applyFill="1" applyBorder="1" applyAlignment="1">
      <alignment horizontal="left" vertical="center"/>
    </xf>
    <xf numFmtId="0" fontId="28" fillId="4" borderId="13" xfId="5" applyFont="1" applyFill="1" applyBorder="1" applyAlignment="1">
      <alignment horizontal="left" vertical="center"/>
    </xf>
    <xf numFmtId="0" fontId="28" fillId="4" borderId="0" xfId="5" applyFont="1" applyFill="1" applyAlignment="1">
      <alignment horizontal="left" vertical="center"/>
    </xf>
    <xf numFmtId="165" fontId="19" fillId="4" borderId="1" xfId="4" applyNumberFormat="1" applyFont="1" applyFill="1" applyAlignment="1">
      <alignment horizontal="left" vertical="center"/>
    </xf>
    <xf numFmtId="165" fontId="26" fillId="0" borderId="0" xfId="4" applyNumberFormat="1" applyFont="1" applyBorder="1" applyAlignment="1">
      <alignment vertical="center" wrapText="1"/>
    </xf>
    <xf numFmtId="165" fontId="26" fillId="0" borderId="0" xfId="4" applyNumberFormat="1" applyFont="1" applyBorder="1" applyAlignment="1">
      <alignment horizontal="center" vertical="center" wrapText="1"/>
    </xf>
    <xf numFmtId="165" fontId="26" fillId="5" borderId="0" xfId="4" applyNumberFormat="1" applyFont="1" applyFill="1" applyBorder="1" applyAlignment="1">
      <alignment horizontal="center" wrapText="1"/>
    </xf>
    <xf numFmtId="165" fontId="27" fillId="5" borderId="0" xfId="4" applyNumberFormat="1" applyFont="1" applyFill="1" applyBorder="1" applyAlignment="1">
      <alignment horizontal="center" vertical="center"/>
    </xf>
    <xf numFmtId="165" fontId="27" fillId="5" borderId="1" xfId="4" applyNumberFormat="1" applyFont="1" applyFill="1" applyAlignment="1">
      <alignment horizontal="center" vertical="center"/>
    </xf>
    <xf numFmtId="0" fontId="22" fillId="5" borderId="13" xfId="5" applyFont="1" applyFill="1" applyBorder="1" applyAlignment="1">
      <alignment horizontal="left" vertical="center"/>
    </xf>
    <xf numFmtId="0" fontId="22" fillId="5" borderId="0" xfId="5" applyFont="1" applyFill="1" applyAlignment="1">
      <alignment horizontal="left" vertical="center"/>
    </xf>
    <xf numFmtId="0" fontId="24" fillId="5" borderId="15" xfId="5" applyFont="1" applyFill="1" applyBorder="1" applyAlignment="1">
      <alignment horizontal="left" vertical="center"/>
    </xf>
    <xf numFmtId="0" fontId="24" fillId="5" borderId="16" xfId="5" applyFont="1" applyFill="1" applyBorder="1" applyAlignment="1">
      <alignment horizontal="left" vertical="center"/>
    </xf>
    <xf numFmtId="165" fontId="25" fillId="5" borderId="0" xfId="4" applyNumberFormat="1" applyFont="1" applyFill="1" applyBorder="1" applyAlignment="1">
      <alignment horizontal="left" vertical="center" wrapText="1"/>
    </xf>
    <xf numFmtId="165" fontId="25" fillId="5" borderId="1" xfId="4" applyNumberFormat="1" applyFont="1" applyFill="1" applyAlignment="1">
      <alignment horizontal="left" vertical="center" wrapText="1"/>
    </xf>
    <xf numFmtId="0" fontId="21" fillId="5" borderId="13" xfId="5" applyFont="1" applyFill="1" applyBorder="1" applyAlignment="1">
      <alignment horizontal="left" vertical="center"/>
    </xf>
    <xf numFmtId="0" fontId="21" fillId="5" borderId="0" xfId="5" applyFont="1" applyFill="1" applyAlignment="1">
      <alignment horizontal="left" vertical="center"/>
    </xf>
    <xf numFmtId="0" fontId="20" fillId="5" borderId="6" xfId="5" applyFont="1" applyFill="1" applyBorder="1" applyAlignment="1">
      <alignment horizontal="left" vertical="center"/>
    </xf>
    <xf numFmtId="0" fontId="20" fillId="5" borderId="7" xfId="5" applyFont="1" applyFill="1" applyBorder="1" applyAlignment="1">
      <alignment horizontal="left" vertical="center"/>
    </xf>
    <xf numFmtId="0" fontId="20" fillId="5" borderId="8" xfId="5" applyFont="1" applyFill="1" applyBorder="1" applyAlignment="1">
      <alignment horizontal="left" vertical="center"/>
    </xf>
    <xf numFmtId="0" fontId="21" fillId="5" borderId="10" xfId="5" applyFont="1" applyFill="1" applyBorder="1" applyAlignment="1">
      <alignment horizontal="left" vertical="center"/>
    </xf>
    <xf numFmtId="0" fontId="21" fillId="5" borderId="11" xfId="5" applyFont="1" applyFill="1" applyBorder="1" applyAlignment="1">
      <alignment horizontal="left" vertical="center"/>
    </xf>
    <xf numFmtId="0" fontId="21" fillId="5" borderId="12" xfId="5" applyFont="1" applyFill="1" applyBorder="1" applyAlignment="1">
      <alignment horizontal="left" vertical="center"/>
    </xf>
    <xf numFmtId="0" fontId="18" fillId="5" borderId="0" xfId="4" applyFont="1" applyFill="1" applyBorder="1" applyAlignment="1">
      <alignment horizontal="center" vertical="center"/>
    </xf>
    <xf numFmtId="165" fontId="19" fillId="5" borderId="0" xfId="4" applyNumberFormat="1" applyFont="1" applyFill="1" applyBorder="1" applyAlignment="1">
      <alignment horizontal="left" vertical="center"/>
    </xf>
    <xf numFmtId="0" fontId="29" fillId="5" borderId="15" xfId="5" applyFont="1" applyFill="1" applyBorder="1" applyAlignment="1">
      <alignment horizontal="left" vertical="center"/>
    </xf>
    <xf numFmtId="0" fontId="29" fillId="5" borderId="16" xfId="5" applyFont="1" applyFill="1" applyBorder="1" applyAlignment="1">
      <alignment horizontal="left" vertical="center"/>
    </xf>
    <xf numFmtId="0" fontId="28" fillId="5" borderId="13" xfId="5" applyFont="1" applyFill="1" applyBorder="1" applyAlignment="1">
      <alignment horizontal="left" vertical="center"/>
    </xf>
    <xf numFmtId="0" fontId="28" fillId="5" borderId="0" xfId="5" applyFont="1" applyFill="1" applyAlignment="1">
      <alignment horizontal="left" vertical="center"/>
    </xf>
    <xf numFmtId="165" fontId="19" fillId="5" borderId="1" xfId="4" applyNumberFormat="1" applyFont="1" applyFill="1" applyAlignment="1">
      <alignment horizontal="left" vertical="center"/>
    </xf>
    <xf numFmtId="165" fontId="26" fillId="5" borderId="1" xfId="4" applyNumberFormat="1" applyFont="1" applyFill="1" applyAlignment="1">
      <alignment horizontal="center" wrapText="1"/>
    </xf>
    <xf numFmtId="0" fontId="22" fillId="5" borderId="13" xfId="5" applyFont="1" applyFill="1" applyBorder="1" applyAlignment="1">
      <alignment horizontal="left" vertical="center" wrapText="1"/>
    </xf>
    <xf numFmtId="0" fontId="22" fillId="5" borderId="0" xfId="5" applyFont="1" applyFill="1" applyAlignment="1">
      <alignment horizontal="left" vertical="center" wrapText="1"/>
    </xf>
    <xf numFmtId="0" fontId="24" fillId="5" borderId="15" xfId="5" applyFont="1" applyFill="1" applyBorder="1" applyAlignment="1">
      <alignment horizontal="left" vertical="center" wrapText="1"/>
    </xf>
    <xf numFmtId="0" fontId="24" fillId="5" borderId="16" xfId="5" applyFont="1" applyFill="1" applyBorder="1" applyAlignment="1">
      <alignment horizontal="left" vertical="center" wrapText="1"/>
    </xf>
    <xf numFmtId="165" fontId="25" fillId="5" borderId="18" xfId="4" applyNumberFormat="1" applyFont="1" applyFill="1" applyBorder="1" applyAlignment="1">
      <alignment horizontal="left" vertical="center" wrapText="1"/>
    </xf>
    <xf numFmtId="0" fontId="18" fillId="5" borderId="1" xfId="4" applyFont="1" applyFill="1" applyAlignment="1">
      <alignment horizontal="center" vertical="center"/>
    </xf>
    <xf numFmtId="165" fontId="19" fillId="5" borderId="16" xfId="4" applyNumberFormat="1" applyFont="1" applyFill="1" applyBorder="1" applyAlignment="1">
      <alignment horizontal="left" vertical="center"/>
    </xf>
    <xf numFmtId="0" fontId="29" fillId="5" borderId="15" xfId="5" applyFont="1" applyFill="1" applyBorder="1" applyAlignment="1">
      <alignment horizontal="left" vertical="center" wrapText="1"/>
    </xf>
    <xf numFmtId="0" fontId="29" fillId="5" borderId="16" xfId="5" applyFont="1" applyFill="1" applyBorder="1" applyAlignment="1">
      <alignment horizontal="left" vertical="center" wrapText="1"/>
    </xf>
    <xf numFmtId="165" fontId="19" fillId="5" borderId="0" xfId="4" applyNumberFormat="1" applyFont="1" applyFill="1" applyBorder="1" applyAlignment="1">
      <alignment vertical="center"/>
    </xf>
  </cellXfs>
  <cellStyles count="7">
    <cellStyle name="Data" xfId="1" xr:uid="{00000000-0005-0000-0000-000016000000}"/>
    <cellStyle name="Moeda" xfId="2" builtinId="4"/>
    <cellStyle name="Moeda [0]" xfId="3" builtinId="7"/>
    <cellStyle name="Normal" xfId="0" builtinId="0"/>
    <cellStyle name="Título" xfId="4" builtinId="15"/>
    <cellStyle name="Título 1" xfId="5" builtinId="16"/>
    <cellStyle name="Título 2" xfId="6" builtinId="17"/>
  </cellStyles>
  <dxfs count="490"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  <fill>
        <patternFill patternType="none"/>
      </fill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  <fill>
        <patternFill patternType="solid">
          <fgColor indexed="65"/>
          <bgColor indexed="65"/>
        </patternFill>
      </fill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  <fill>
        <patternFill patternType="solid">
          <fgColor indexed="65"/>
          <bgColor indexed="65"/>
        </patternFill>
      </fill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  <fill>
        <patternFill patternType="solid">
          <fgColor indexed="65"/>
          <bgColor indexed="65"/>
        </patternFill>
      </fill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  <fill>
        <patternFill patternType="solid">
          <fgColor indexed="65"/>
          <bgColor indexed="65"/>
        </patternFill>
      </fill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  <fill>
        <patternFill patternType="solid">
          <fgColor indexed="65"/>
          <bgColor indexed="65"/>
        </patternFill>
      </fill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  <fill>
        <patternFill patternType="none"/>
      </fill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  <fill>
        <patternFill patternType="solid">
          <fgColor indexed="65"/>
          <bgColor indexed="65"/>
        </patternFill>
      </fill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  <fill>
        <patternFill patternType="solid">
          <fgColor indexed="65"/>
          <bgColor indexed="65"/>
        </patternFill>
      </fill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  <fill>
        <patternFill patternType="solid">
          <fgColor indexed="65"/>
          <bgColor indexed="65"/>
        </patternFill>
      </fill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  <fill>
        <patternFill patternType="solid">
          <fgColor indexed="65"/>
          <bgColor indexed="65"/>
        </patternFill>
      </fill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  <fill>
        <patternFill patternType="solid">
          <fgColor indexed="65"/>
          <bgColor indexed="65"/>
        </patternFill>
      </fill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  <fill>
        <patternFill patternType="solid">
          <fgColor indexed="65"/>
          <bgColor indexed="65"/>
        </patternFill>
      </fill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  <fill>
        <patternFill patternType="none"/>
      </fill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none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none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  <alignment horizontal="right" vertical="center" textRotation="0" wrapText="0" relativeIndent="0" shrinkToFit="0" readingOrder="0"/>
    </dxf>
    <dxf>
      <font>
        <strike val="0"/>
        <u val="none"/>
        <vertAlign val="baseline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  <alignment horizontal="right" vertical="center" textRotation="0" wrapText="0" relativeIndent="0" shrinkToFit="0" readingOrder="0"/>
    </dxf>
    <dxf>
      <font>
        <strike val="0"/>
        <u val="none"/>
        <vertAlign val="baseline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  <alignment horizontal="right" vertical="center" textRotation="0" wrapText="0" relativeIndent="0" shrinkToFit="0" readingOrder="0"/>
    </dxf>
    <dxf>
      <font>
        <strike val="0"/>
        <u val="none"/>
        <vertAlign val="baseline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  <alignment horizontal="right" vertical="center" textRotation="0" wrapText="0" relativeIndent="0" shrinkToFit="0" readingOrder="0"/>
    </dxf>
    <dxf>
      <font>
        <strike val="0"/>
        <u val="none"/>
        <vertAlign val="baseline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  <alignment horizontal="right" vertical="center" textRotation="0" wrapText="0" relativeIndent="0" shrinkToFit="0" readingOrder="0"/>
    </dxf>
    <dxf>
      <font>
        <strike val="0"/>
        <u val="none"/>
        <vertAlign val="baseline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  <alignment horizontal="right" vertical="center" textRotation="0" wrapText="0" relativeIndent="0" shrinkToFit="0" readingOrder="0"/>
    </dxf>
    <dxf>
      <font>
        <strike val="0"/>
        <u val="none"/>
        <vertAlign val="baseline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  <alignment horizontal="right" vertical="center" textRotation="0" wrapText="0" relativeIndent="0" shrinkToFit="0" readingOrder="0"/>
    </dxf>
    <dxf>
      <font>
        <strike val="0"/>
        <u val="none"/>
        <vertAlign val="baseline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  <alignment horizontal="right" vertical="center" textRotation="0" wrapText="0" relativeIndent="0" shrinkToFit="0" readingOrder="0"/>
    </dxf>
    <dxf>
      <font>
        <strike val="0"/>
        <u val="none"/>
        <vertAlign val="baseline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  <numFmt numFmtId="164" formatCode="&quot;R$&quot;\ #,##0.00"/>
      <alignment horizontal="right" vertical="center" textRotation="0" wrapText="0" relativeIndent="0" shrinkToFit="0" readingOrder="0"/>
    </dxf>
    <dxf>
      <font>
        <strike val="0"/>
        <u val="none"/>
        <vertAlign val="baseline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strike val="0"/>
        <u val="none"/>
        <vertAlign val="baseline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  <numFmt numFmtId="164" formatCode="&quot;R$&quot;\ #,##0.00"/>
    </dxf>
    <dxf>
      <font>
        <b val="0"/>
        <i val="0"/>
        <strike val="0"/>
        <u val="none"/>
        <vertAlign val="baseline"/>
        <sz val="11"/>
        <color theme="1" tint="0.24994659260841701"/>
        <name val="Century Gothic"/>
        <scheme val="major"/>
      </font>
    </dxf>
    <dxf>
      <font>
        <strike val="0"/>
        <u val="none"/>
        <vertAlign val="baseline"/>
        <name val="Century Gothic"/>
        <scheme val="maj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99</xdr:row>
      <xdr:rowOff>0</xdr:rowOff>
    </xdr:from>
    <xdr:to>
      <xdr:col>4</xdr:col>
      <xdr:colOff>180975</xdr:colOff>
      <xdr:row>100</xdr:row>
      <xdr:rowOff>0</xdr:rowOff>
    </xdr:to>
    <xdr:sp macro="" textlink="">
      <xdr:nvSpPr>
        <xdr:cNvPr id="2" name="Forma Livre: Forma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 bwMode="auto">
        <a:xfrm>
          <a:off x="4105275" y="40633650"/>
          <a:ext cx="895350" cy="381000"/>
        </a:xfrm>
        <a:custGeom>
          <a:avLst/>
          <a:gdLst>
            <a:gd name="gd0" fmla="val 65536"/>
            <a:gd name="gd1" fmla="val 0"/>
            <a:gd name="gd2" fmla="val 0"/>
            <a:gd name="gd3" fmla="val 0"/>
            <a:gd name="gd4" fmla="val 21600"/>
            <a:gd name="gd5" fmla="+- gd3 21600 0"/>
            <a:gd name="gd6" fmla="+- gd4 0 0"/>
            <a:gd name="gd7" fmla="val 21600"/>
            <a:gd name="gd8" fmla="val 0"/>
          </a:gdLst>
          <a:ahLst/>
          <a:cxnLst/>
          <a:rect l="0" t="0" r="r" b="b"/>
          <a:pathLst>
            <a:path w="21600" h="21600" extrusionOk="0">
              <a:moveTo>
                <a:pt x="gd1" y="gd2"/>
              </a:moveTo>
              <a:lnTo>
                <a:pt x="gd3" y="gd4"/>
              </a:lnTo>
              <a:lnTo>
                <a:pt x="gd5" y="gd6"/>
              </a:lnTo>
              <a:lnTo>
                <a:pt x="gd7" y="gd8"/>
              </a:lnTo>
              <a:close/>
            </a:path>
          </a:pathLst>
        </a:custGeom>
        <a:solidFill>
          <a:srgbClr val="FFFFFF"/>
        </a:solidFill>
        <a:ln>
          <a:noFill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14</xdr:row>
      <xdr:rowOff>0</xdr:rowOff>
    </xdr:from>
    <xdr:to>
      <xdr:col>4</xdr:col>
      <xdr:colOff>180975</xdr:colOff>
      <xdr:row>15</xdr:row>
      <xdr:rowOff>0</xdr:rowOff>
    </xdr:to>
    <xdr:sp macro="" textlink="">
      <xdr:nvSpPr>
        <xdr:cNvPr id="2" name="Forma Livre: Forma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 bwMode="auto">
        <a:xfrm>
          <a:off x="4105275" y="6229350"/>
          <a:ext cx="895350" cy="381000"/>
        </a:xfrm>
        <a:custGeom>
          <a:avLst/>
          <a:gdLst>
            <a:gd name="gd0" fmla="val 65536"/>
            <a:gd name="gd1" fmla="val 0"/>
            <a:gd name="gd2" fmla="val 0"/>
            <a:gd name="gd3" fmla="val 0"/>
            <a:gd name="gd4" fmla="val 21600"/>
            <a:gd name="gd5" fmla="+- gd3 21600 0"/>
            <a:gd name="gd6" fmla="+- gd4 0 0"/>
            <a:gd name="gd7" fmla="val 21600"/>
            <a:gd name="gd8" fmla="val 0"/>
          </a:gdLst>
          <a:ahLst/>
          <a:cxnLst/>
          <a:rect l="0" t="0" r="r" b="b"/>
          <a:pathLst>
            <a:path w="21600" h="21600" extrusionOk="0">
              <a:moveTo>
                <a:pt x="gd1" y="gd2"/>
              </a:moveTo>
              <a:lnTo>
                <a:pt x="gd3" y="gd4"/>
              </a:lnTo>
              <a:lnTo>
                <a:pt x="gd5" y="gd6"/>
              </a:lnTo>
              <a:lnTo>
                <a:pt x="gd7" y="gd8"/>
              </a:lnTo>
              <a:close/>
            </a:path>
          </a:pathLst>
        </a:custGeom>
        <a:solidFill>
          <a:srgbClr val="FFFFFF"/>
        </a:solidFill>
        <a:ln>
          <a:noFill/>
        </a:ln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dos" displayName="Dados" ref="B3:P13" totalsRowCount="1">
  <autoFilter ref="B3:P12" xr:uid="{00000000-0009-0000-0100-000001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tableColumns count="15">
    <tableColumn id="1" xr3:uid="{00000000-0010-0000-0000-000001000000}" name="Funcionários" totalsRowLabel="Total" dataDxfId="489"/>
    <tableColumn id="2" xr3:uid="{00000000-0010-0000-0000-000002000000}" name="Data Admissão" dataDxfId="488"/>
    <tableColumn id="3" xr3:uid="{00000000-0010-0000-0000-000003000000}" name="Janeiro" dataDxfId="487"/>
    <tableColumn id="4" xr3:uid="{00000000-0010-0000-0000-000004000000}" name="Fevereiro" dataDxfId="486"/>
    <tableColumn id="5" xr3:uid="{00000000-0010-0000-0000-000005000000}" name="Março" dataDxfId="485"/>
    <tableColumn id="6" xr3:uid="{00000000-0010-0000-0000-000006000000}" name="Abril" dataDxfId="484"/>
    <tableColumn id="7" xr3:uid="{00000000-0010-0000-0000-000007000000}" name="Maio" dataDxfId="483"/>
    <tableColumn id="8" xr3:uid="{00000000-0010-0000-0000-000008000000}" name="Junho" dataDxfId="482"/>
    <tableColumn id="9" xr3:uid="{00000000-0010-0000-0000-000009000000}" name="Julho" dataDxfId="481"/>
    <tableColumn id="10" xr3:uid="{00000000-0010-0000-0000-00000A000000}" name="Agosto" dataDxfId="480"/>
    <tableColumn id="11" xr3:uid="{00000000-0010-0000-0000-00000B000000}" name="Setembro" dataDxfId="479"/>
    <tableColumn id="12" xr3:uid="{00000000-0010-0000-0000-00000C000000}" name="Outubro" dataDxfId="478"/>
    <tableColumn id="13" xr3:uid="{00000000-0010-0000-0000-00000D000000}" name="Novembro" dataDxfId="477"/>
    <tableColumn id="14" xr3:uid="{00000000-0010-0000-0000-00000E000000}" name="Dezembro" dataDxfId="476"/>
    <tableColumn id="15" xr3:uid="{00000000-0010-0000-0000-00000F000000}" name="Total" dataDxfId="475"/>
  </tableColumns>
  <tableStyleInfo name="TableStyleMedium16" showFirstColumn="0" showLastColumn="1" showRowStripes="1" showColumnStripes="0"/>
  <extLst>
    <ext xmlns:x14="http://schemas.microsoft.com/office/spreadsheetml/2009/9/main" uri="{504A1905-F514-4f6f-8877-14C23A59335A}">
      <x14:table altTextSummary="Insira os detalhes de pagamento de cartão de crédito, como data, descrição, quantidade, nome do fornecedor e taxas de transação nesta tabela. O saldo excluindo juros é calculado automaticamente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dos3" displayName="Dados3" ref="B42:P52" totalsRowCount="1">
  <autoFilter ref="B42:P51" xr:uid="{00000000-0009-0000-0100-000002000000}"/>
  <tableColumns count="15">
    <tableColumn id="1" xr3:uid="{00000000-0010-0000-0100-000001000000}" name="Funcionários" totalsRowLabel="Total" dataDxfId="474"/>
    <tableColumn id="2" xr3:uid="{00000000-0010-0000-0100-000002000000}" name="Data Admissão" dataDxfId="473"/>
    <tableColumn id="3" xr3:uid="{00000000-0010-0000-0100-000003000000}" name="Janeiro" dataDxfId="472"/>
    <tableColumn id="4" xr3:uid="{00000000-0010-0000-0100-000004000000}" name="Fevereiro" dataDxfId="471"/>
    <tableColumn id="5" xr3:uid="{00000000-0010-0000-0100-000005000000}" name="Março" dataDxfId="470"/>
    <tableColumn id="6" xr3:uid="{00000000-0010-0000-0100-000006000000}" name="Abril" dataDxfId="469"/>
    <tableColumn id="7" xr3:uid="{00000000-0010-0000-0100-000007000000}" name="Maio" dataDxfId="468"/>
    <tableColumn id="8" xr3:uid="{00000000-0010-0000-0100-000008000000}" name="Junho" dataDxfId="467"/>
    <tableColumn id="9" xr3:uid="{00000000-0010-0000-0100-000009000000}" name="Julho" dataDxfId="466"/>
    <tableColumn id="10" xr3:uid="{00000000-0010-0000-0100-00000A000000}" name="Agosto" dataDxfId="465"/>
    <tableColumn id="11" xr3:uid="{00000000-0010-0000-0100-00000B000000}" name="Setembro" dataDxfId="464"/>
    <tableColumn id="12" xr3:uid="{00000000-0010-0000-0100-00000C000000}" name="Outubro" dataDxfId="463"/>
    <tableColumn id="13" xr3:uid="{00000000-0010-0000-0100-00000D000000}" name="Novembro" dataDxfId="462"/>
    <tableColumn id="14" xr3:uid="{00000000-0010-0000-0100-00000E000000}" name="Dezembro" dataDxfId="461"/>
    <tableColumn id="15" xr3:uid="{00000000-0010-0000-0100-00000F000000}" name="Total" dataDxfId="460"/>
  </tableColumns>
  <tableStyleInfo name="TableStyleMedium16" showFirstColumn="0" showLastColumn="1" showRowStripes="1" showColumnStripes="0"/>
  <extLst>
    <ext xmlns:x14="http://schemas.microsoft.com/office/spreadsheetml/2009/9/main" uri="{504A1905-F514-4f6f-8877-14C23A59335A}">
      <x14:table altTextSummary="Insira os detalhes de pagamento de cartão de crédito, como data, descrição, quantidade, nome do fornecedor e taxas de transação nesta tabela. O saldo excluindo juros é calculado automaticamente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ados34" displayName="Dados34" ref="B95:P105" totalsRowCount="1">
  <autoFilter ref="B95:P104" xr:uid="{00000000-0009-0000-0100-000003000000}"/>
  <tableColumns count="15">
    <tableColumn id="1" xr3:uid="{00000000-0010-0000-0200-000001000000}" name="Funcionários" totalsRowLabel="Total" dataDxfId="459"/>
    <tableColumn id="2" xr3:uid="{00000000-0010-0000-0200-000002000000}" name="Data Admissão" dataDxfId="458"/>
    <tableColumn id="3" xr3:uid="{00000000-0010-0000-0200-000003000000}" name="Janeiro" dataDxfId="457"/>
    <tableColumn id="4" xr3:uid="{00000000-0010-0000-0200-000004000000}" name="Fevereiro" totalsRowFunction="sum" dataDxfId="456"/>
    <tableColumn id="5" xr3:uid="{00000000-0010-0000-0200-000005000000}" name="Março" dataDxfId="455"/>
    <tableColumn id="6" xr3:uid="{00000000-0010-0000-0200-000006000000}" name="Abril" totalsRowFunction="sum" dataDxfId="454"/>
    <tableColumn id="7" xr3:uid="{00000000-0010-0000-0200-000007000000}" name="Maio" dataDxfId="453"/>
    <tableColumn id="8" xr3:uid="{00000000-0010-0000-0200-000008000000}" name="Junho" dataDxfId="452"/>
    <tableColumn id="9" xr3:uid="{00000000-0010-0000-0200-000009000000}" name="Julho" dataDxfId="451"/>
    <tableColumn id="10" xr3:uid="{00000000-0010-0000-0200-00000A000000}" name="Agosto" dataDxfId="450"/>
    <tableColumn id="11" xr3:uid="{00000000-0010-0000-0200-00000B000000}" name="Setembro" dataDxfId="449"/>
    <tableColumn id="12" xr3:uid="{00000000-0010-0000-0200-00000C000000}" name="Outubro" dataDxfId="448"/>
    <tableColumn id="13" xr3:uid="{00000000-0010-0000-0200-00000D000000}" name="Novembro" dataDxfId="447"/>
    <tableColumn id="14" xr3:uid="{00000000-0010-0000-0200-00000E000000}" name="Dezembro" dataDxfId="446"/>
    <tableColumn id="15" xr3:uid="{00000000-0010-0000-0200-00000F000000}" name="Total" dataDxfId="445"/>
  </tableColumns>
  <tableStyleInfo name="TableStyleMedium16" showFirstColumn="0" showLastColumn="1" showRowStripes="1" showColumnStripes="0"/>
  <extLst>
    <ext xmlns:x14="http://schemas.microsoft.com/office/spreadsheetml/2009/9/main" uri="{504A1905-F514-4f6f-8877-14C23A59335A}">
      <x14:table altTextSummary="Insira os detalhes de pagamento de cartão de crédito, como data, descrição, quantidade, nome do fornecedor e taxas de transação nesta tabela. O saldo excluindo juros é calculado automaticamente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ados345" displayName="Dados345" ref="B108:P118" totalsRowCount="1">
  <autoFilter ref="B108:P117" xr:uid="{00000000-0009-0000-0100-000004000000}"/>
  <tableColumns count="15">
    <tableColumn id="1" xr3:uid="{00000000-0010-0000-0300-000001000000}" name="Funcionários" totalsRowLabel="Total" dataDxfId="444"/>
    <tableColumn id="2" xr3:uid="{00000000-0010-0000-0300-000002000000}" name="Data Admissão" dataDxfId="443"/>
    <tableColumn id="3" xr3:uid="{00000000-0010-0000-0300-000003000000}" name="Janeiro" dataDxfId="442"/>
    <tableColumn id="4" xr3:uid="{00000000-0010-0000-0300-000004000000}" name="Fevereiro" dataDxfId="441"/>
    <tableColumn id="5" xr3:uid="{00000000-0010-0000-0300-000005000000}" name="Março" dataDxfId="440"/>
    <tableColumn id="6" xr3:uid="{00000000-0010-0000-0300-000006000000}" name="Abril" dataDxfId="439"/>
    <tableColumn id="7" xr3:uid="{00000000-0010-0000-0300-000007000000}" name="Maio" dataDxfId="438"/>
    <tableColumn id="8" xr3:uid="{00000000-0010-0000-0300-000008000000}" name="Junho" dataDxfId="437"/>
    <tableColumn id="9" xr3:uid="{00000000-0010-0000-0300-000009000000}" name="Julho" dataDxfId="436"/>
    <tableColumn id="10" xr3:uid="{00000000-0010-0000-0300-00000A000000}" name="Agosto" dataDxfId="435"/>
    <tableColumn id="11" xr3:uid="{00000000-0010-0000-0300-00000B000000}" name="Setembro" dataDxfId="434"/>
    <tableColumn id="12" xr3:uid="{00000000-0010-0000-0300-00000C000000}" name="Outubro" dataDxfId="433"/>
    <tableColumn id="13" xr3:uid="{00000000-0010-0000-0300-00000D000000}" name="Novembro" dataDxfId="432"/>
    <tableColumn id="14" xr3:uid="{00000000-0010-0000-0300-00000E000000}" name="Dezembro" dataDxfId="431"/>
    <tableColumn id="15" xr3:uid="{00000000-0010-0000-0300-00000F000000}" name="Total" dataDxfId="430"/>
  </tableColumns>
  <tableStyleInfo name="TableStyleMedium16" showFirstColumn="0" showLastColumn="1" showRowStripes="1" showColumnStripes="0"/>
  <extLst>
    <ext xmlns:x14="http://schemas.microsoft.com/office/spreadsheetml/2009/9/main" uri="{504A1905-F514-4f6f-8877-14C23A59335A}">
      <x14:table altTextSummary="Insira os detalhes de pagamento de cartão de crédito, como data, descrição, quantidade, nome do fornecedor e taxas de transação nesta tabela. O saldo excluindo juros é calculado automaticamente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ados36" displayName="Dados36" ref="B55:P65" totalsRowCount="1">
  <autoFilter ref="B55:P64" xr:uid="{00000000-0009-0000-0100-000005000000}"/>
  <tableColumns count="15">
    <tableColumn id="1" xr3:uid="{00000000-0010-0000-0400-000001000000}" name="Funcionários" totalsRowLabel="Total" dataDxfId="429"/>
    <tableColumn id="2" xr3:uid="{00000000-0010-0000-0400-000002000000}" name="Data Admissão" dataDxfId="428"/>
    <tableColumn id="3" xr3:uid="{00000000-0010-0000-0400-000003000000}" name="Janeiro" dataDxfId="427"/>
    <tableColumn id="4" xr3:uid="{00000000-0010-0000-0400-000004000000}" name="Fevereiro" dataDxfId="426"/>
    <tableColumn id="5" xr3:uid="{00000000-0010-0000-0400-000005000000}" name="Março" dataDxfId="425"/>
    <tableColumn id="6" xr3:uid="{00000000-0010-0000-0400-000006000000}" name="Abril" dataDxfId="424"/>
    <tableColumn id="7" xr3:uid="{00000000-0010-0000-0400-000007000000}" name="Maio" dataDxfId="423"/>
    <tableColumn id="8" xr3:uid="{00000000-0010-0000-0400-000008000000}" name="Junho" dataDxfId="422"/>
    <tableColumn id="9" xr3:uid="{00000000-0010-0000-0400-000009000000}" name="Julho" dataDxfId="421"/>
    <tableColumn id="10" xr3:uid="{00000000-0010-0000-0400-00000A000000}" name="Agosto" dataDxfId="420"/>
    <tableColumn id="11" xr3:uid="{00000000-0010-0000-0400-00000B000000}" name="Setembro" dataDxfId="419"/>
    <tableColumn id="12" xr3:uid="{00000000-0010-0000-0400-00000C000000}" name="Outubro" dataDxfId="418"/>
    <tableColumn id="13" xr3:uid="{00000000-0010-0000-0400-00000D000000}" name="Novembro" dataDxfId="417"/>
    <tableColumn id="14" xr3:uid="{00000000-0010-0000-0400-00000E000000}" name="Dezembro" dataDxfId="416"/>
    <tableColumn id="15" xr3:uid="{00000000-0010-0000-0400-00000F000000}" name="Total" dataDxfId="415"/>
  </tableColumns>
  <tableStyleInfo name="TableStyleMedium16" showFirstColumn="0" showLastColumn="1" showRowStripes="1" showColumnStripes="0"/>
  <extLst>
    <ext xmlns:x14="http://schemas.microsoft.com/office/spreadsheetml/2009/9/main" uri="{504A1905-F514-4f6f-8877-14C23A59335A}">
      <x14:table altTextSummary="Insira os detalhes de pagamento de cartão de crédito, como data, descrição, quantidade, nome do fornecedor e taxas de transação nesta tabela. O saldo excluindo juros é calculado automaticamente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ados3457" displayName="Dados3457" ref="B121:P131" totalsRowCount="1">
  <autoFilter ref="B121:P130" xr:uid="{00000000-0009-0000-0100-000006000000}"/>
  <tableColumns count="15">
    <tableColumn id="1" xr3:uid="{00000000-0010-0000-0500-000001000000}" name="Funcionários" totalsRowLabel="Total" dataDxfId="414"/>
    <tableColumn id="2" xr3:uid="{00000000-0010-0000-0500-000002000000}" name="Data Admissão" dataDxfId="413"/>
    <tableColumn id="3" xr3:uid="{00000000-0010-0000-0500-000003000000}" name="Janeiro" dataDxfId="412"/>
    <tableColumn id="4" xr3:uid="{00000000-0010-0000-0500-000004000000}" name="Fevereiro" dataDxfId="411"/>
    <tableColumn id="5" xr3:uid="{00000000-0010-0000-0500-000005000000}" name="Março" dataDxfId="410"/>
    <tableColumn id="6" xr3:uid="{00000000-0010-0000-0500-000006000000}" name="Abril" dataDxfId="409"/>
    <tableColumn id="7" xr3:uid="{00000000-0010-0000-0500-000007000000}" name="Maio" dataDxfId="408"/>
    <tableColumn id="8" xr3:uid="{00000000-0010-0000-0500-000008000000}" name="Junho" dataDxfId="407"/>
    <tableColumn id="9" xr3:uid="{00000000-0010-0000-0500-000009000000}" name="Julho" dataDxfId="406"/>
    <tableColumn id="10" xr3:uid="{00000000-0010-0000-0500-00000A000000}" name="Agosto" dataDxfId="405"/>
    <tableColumn id="11" xr3:uid="{00000000-0010-0000-0500-00000B000000}" name="Setembro" dataDxfId="404"/>
    <tableColumn id="12" xr3:uid="{00000000-0010-0000-0500-00000C000000}" name="Outubro" dataDxfId="403"/>
    <tableColumn id="13" xr3:uid="{00000000-0010-0000-0500-00000D000000}" name="Novembro" dataDxfId="402"/>
    <tableColumn id="14" xr3:uid="{00000000-0010-0000-0500-00000E000000}" name="Dezembro" dataDxfId="401"/>
    <tableColumn id="15" xr3:uid="{00000000-0010-0000-0500-00000F000000}" name="Total" dataDxfId="400"/>
  </tableColumns>
  <tableStyleInfo name="TableStyleMedium16" showFirstColumn="0" showLastColumn="1" showRowStripes="1" showColumnStripes="0"/>
  <extLst>
    <ext xmlns:x14="http://schemas.microsoft.com/office/spreadsheetml/2009/9/main" uri="{504A1905-F514-4f6f-8877-14C23A59335A}">
      <x14:table altTextSummary="Insira os detalhes de pagamento de cartão de crédito, como data, descrição, quantidade, nome do fornecedor e taxas de transação nesta tabela. O saldo excluindo juros é calculado automaticamente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Dados34578" displayName="Dados34578" ref="B134:P144" totalsRowCount="1">
  <autoFilter ref="B134:P143" xr:uid="{00000000-0009-0000-0100-000007000000}"/>
  <tableColumns count="15">
    <tableColumn id="1" xr3:uid="{00000000-0010-0000-0600-000001000000}" name="Funcionários" totalsRowLabel="Total" dataDxfId="399"/>
    <tableColumn id="2" xr3:uid="{00000000-0010-0000-0600-000002000000}" name="Data Admissão" dataDxfId="398"/>
    <tableColumn id="3" xr3:uid="{00000000-0010-0000-0600-000003000000}" name="Janeiro" dataDxfId="397"/>
    <tableColumn id="4" xr3:uid="{00000000-0010-0000-0600-000004000000}" name="Fevereiro" dataDxfId="396"/>
    <tableColumn id="5" xr3:uid="{00000000-0010-0000-0600-000005000000}" name="Março" dataDxfId="395"/>
    <tableColumn id="6" xr3:uid="{00000000-0010-0000-0600-000006000000}" name="Abril" dataDxfId="394"/>
    <tableColumn id="7" xr3:uid="{00000000-0010-0000-0600-000007000000}" name="Maio" dataDxfId="393"/>
    <tableColumn id="8" xr3:uid="{00000000-0010-0000-0600-000008000000}" name="Junho" dataDxfId="392"/>
    <tableColumn id="9" xr3:uid="{00000000-0010-0000-0600-000009000000}" name="Julho" dataDxfId="391"/>
    <tableColumn id="10" xr3:uid="{00000000-0010-0000-0600-00000A000000}" name="Agosto" dataDxfId="390"/>
    <tableColumn id="11" xr3:uid="{00000000-0010-0000-0600-00000B000000}" name="Setembro" dataDxfId="389"/>
    <tableColumn id="12" xr3:uid="{00000000-0010-0000-0600-00000C000000}" name="Outubro" dataDxfId="388"/>
    <tableColumn id="13" xr3:uid="{00000000-0010-0000-0600-00000D000000}" name="Novembro" dataDxfId="387"/>
    <tableColumn id="14" xr3:uid="{00000000-0010-0000-0600-00000E000000}" name="Dezembro" dataDxfId="386"/>
    <tableColumn id="15" xr3:uid="{00000000-0010-0000-0600-00000F000000}" name="Total" dataDxfId="385"/>
  </tableColumns>
  <tableStyleInfo name="TableStyleMedium16" showFirstColumn="0" showLastColumn="1" showRowStripes="1" showColumnStripes="0"/>
  <extLst>
    <ext xmlns:x14="http://schemas.microsoft.com/office/spreadsheetml/2009/9/main" uri="{504A1905-F514-4f6f-8877-14C23A59335A}">
      <x14:table altTextSummary="Insira os detalhes de pagamento de cartão de crédito, como data, descrição, quantidade, nome do fornecedor e taxas de transação nesta tabela. O saldo excluindo juros é calculado automaticamente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Dados39" displayName="Dados39" ref="B29:P39" totalsRowCount="1">
  <autoFilter ref="B29:P38" xr:uid="{00000000-0009-0000-0100-000008000000}"/>
  <tableColumns count="15">
    <tableColumn id="1" xr3:uid="{00000000-0010-0000-0700-000001000000}" name="Funcionários" totalsRowLabel="Total" dataDxfId="384"/>
    <tableColumn id="2" xr3:uid="{00000000-0010-0000-0700-000002000000}" name="Data Admissão" dataDxfId="383"/>
    <tableColumn id="3" xr3:uid="{00000000-0010-0000-0700-000003000000}" name="Janeiro" dataDxfId="382"/>
    <tableColumn id="4" xr3:uid="{00000000-0010-0000-0700-000004000000}" name="Fevereiro" dataDxfId="381"/>
    <tableColumn id="5" xr3:uid="{00000000-0010-0000-0700-000005000000}" name="Março" dataDxfId="380"/>
    <tableColumn id="6" xr3:uid="{00000000-0010-0000-0700-000006000000}" name="Abril" dataDxfId="379"/>
    <tableColumn id="7" xr3:uid="{00000000-0010-0000-0700-000007000000}" name="Maio" dataDxfId="378"/>
    <tableColumn id="8" xr3:uid="{00000000-0010-0000-0700-000008000000}" name="Junho" dataDxfId="377"/>
    <tableColumn id="9" xr3:uid="{00000000-0010-0000-0700-000009000000}" name="Julho" dataDxfId="376"/>
    <tableColumn id="10" xr3:uid="{00000000-0010-0000-0700-00000A000000}" name="Agosto" dataDxfId="375"/>
    <tableColumn id="11" xr3:uid="{00000000-0010-0000-0700-00000B000000}" name="Setembro" dataDxfId="374"/>
    <tableColumn id="12" xr3:uid="{00000000-0010-0000-0700-00000C000000}" name="Outubro" dataDxfId="373"/>
    <tableColumn id="13" xr3:uid="{00000000-0010-0000-0700-00000D000000}" name="Novembro" dataDxfId="372"/>
    <tableColumn id="14" xr3:uid="{00000000-0010-0000-0700-00000E000000}" name="Dezembro" dataDxfId="371"/>
    <tableColumn id="15" xr3:uid="{00000000-0010-0000-0700-00000F000000}" name="Total" dataDxfId="370"/>
  </tableColumns>
  <tableStyleInfo name="TableStyleMedium16" showFirstColumn="0" showLastColumn="1" showRowStripes="1" showColumnStripes="0"/>
  <extLst>
    <ext xmlns:x14="http://schemas.microsoft.com/office/spreadsheetml/2009/9/main" uri="{504A1905-F514-4f6f-8877-14C23A59335A}">
      <x14:table altTextSummary="Insira os detalhes de pagamento de cartão de crédito, como data, descrição, quantidade, nome do fornecedor e taxas de transação nesta tabela. O saldo excluindo juros é calculado automaticamente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Dados10" displayName="Dados10" ref="B16:P26" totalsRowCount="1">
  <autoFilter ref="B16:P25" xr:uid="{00000000-0009-0000-0100-000009000000}"/>
  <tableColumns count="15">
    <tableColumn id="1" xr3:uid="{00000000-0010-0000-0800-000001000000}" name="Funcionários" totalsRowLabel="Total" dataDxfId="369"/>
    <tableColumn id="2" xr3:uid="{00000000-0010-0000-0800-000002000000}" name="Data Admissão" dataDxfId="368"/>
    <tableColumn id="3" xr3:uid="{00000000-0010-0000-0800-000003000000}" name="Janeiro" dataDxfId="367"/>
    <tableColumn id="4" xr3:uid="{00000000-0010-0000-0800-000004000000}" name="Fevereiro" dataDxfId="366"/>
    <tableColumn id="5" xr3:uid="{00000000-0010-0000-0800-000005000000}" name="Março" dataDxfId="365"/>
    <tableColumn id="6" xr3:uid="{00000000-0010-0000-0800-000006000000}" name="Abril" dataDxfId="364"/>
    <tableColumn id="7" xr3:uid="{00000000-0010-0000-0800-000007000000}" name="Maio" dataDxfId="363"/>
    <tableColumn id="8" xr3:uid="{00000000-0010-0000-0800-000008000000}" name="Junho" dataDxfId="362"/>
    <tableColumn id="9" xr3:uid="{00000000-0010-0000-0800-000009000000}" name="Julho" dataDxfId="361"/>
    <tableColumn id="10" xr3:uid="{00000000-0010-0000-0800-00000A000000}" name="Agosto" dataDxfId="360"/>
    <tableColumn id="11" xr3:uid="{00000000-0010-0000-0800-00000B000000}" name="Setembro" dataDxfId="359"/>
    <tableColumn id="12" xr3:uid="{00000000-0010-0000-0800-00000C000000}" name="Outubro" dataDxfId="358"/>
    <tableColumn id="13" xr3:uid="{00000000-0010-0000-0800-00000D000000}" name="Novembro" dataDxfId="357"/>
    <tableColumn id="14" xr3:uid="{00000000-0010-0000-0800-00000E000000}" name="Dezembro" dataDxfId="356"/>
    <tableColumn id="15" xr3:uid="{00000000-0010-0000-0800-00000F000000}" name="Total" dataDxfId="355"/>
  </tableColumns>
  <tableStyleInfo name="TableStyleMedium16" showFirstColumn="0" showLastColumn="1" showRowStripes="1" showColumnStripes="0"/>
  <extLst>
    <ext xmlns:x14="http://schemas.microsoft.com/office/spreadsheetml/2009/9/main" uri="{504A1905-F514-4f6f-8877-14C23A59335A}">
      <x14:table altTextSummary="Insira os detalhes de pagamento de cartão de crédito, como data, descrição, quantidade, nome do fornecedor e taxas de transação nesta tabela. O saldo excluindo juros é calculado automaticamente"/>
    </ext>
  </extLst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Dados3411" displayName="Dados3411" ref="B69:P79" totalsRowCount="1">
  <autoFilter ref="B69:P78" xr:uid="{00000000-0009-0000-0100-00000A000000}"/>
  <tableColumns count="15">
    <tableColumn id="1" xr3:uid="{00000000-0010-0000-0900-000001000000}" name="Funcionários" totalsRowLabel="Total" dataDxfId="354"/>
    <tableColumn id="2" xr3:uid="{00000000-0010-0000-0900-000002000000}" name="Data Admissão" dataDxfId="353"/>
    <tableColumn id="3" xr3:uid="{00000000-0010-0000-0900-000003000000}" name="Janeiro" dataDxfId="352"/>
    <tableColumn id="4" xr3:uid="{00000000-0010-0000-0900-000004000000}" name="Fevereiro" totalsRowFunction="sum" dataDxfId="351"/>
    <tableColumn id="5" xr3:uid="{00000000-0010-0000-0900-000005000000}" name="Março" dataDxfId="350"/>
    <tableColumn id="6" xr3:uid="{00000000-0010-0000-0900-000006000000}" name="Abril" totalsRowFunction="sum" dataDxfId="349"/>
    <tableColumn id="7" xr3:uid="{00000000-0010-0000-0900-000007000000}" name="Maio" dataDxfId="348"/>
    <tableColumn id="8" xr3:uid="{00000000-0010-0000-0900-000008000000}" name="Junho" dataDxfId="347"/>
    <tableColumn id="9" xr3:uid="{00000000-0010-0000-0900-000009000000}" name="Julho" dataDxfId="346"/>
    <tableColumn id="10" xr3:uid="{00000000-0010-0000-0900-00000A000000}" name="Agosto" dataDxfId="345"/>
    <tableColumn id="11" xr3:uid="{00000000-0010-0000-0900-00000B000000}" name="Setembro" dataDxfId="344"/>
    <tableColumn id="12" xr3:uid="{00000000-0010-0000-0900-00000C000000}" name="Outubro" dataDxfId="343"/>
    <tableColumn id="13" xr3:uid="{00000000-0010-0000-0900-00000D000000}" name="Novembro" dataDxfId="342"/>
    <tableColumn id="14" xr3:uid="{00000000-0010-0000-0900-00000E000000}" name="Dezembro" dataDxfId="341"/>
    <tableColumn id="15" xr3:uid="{00000000-0010-0000-0900-00000F000000}" name="Total" dataDxfId="340"/>
  </tableColumns>
  <tableStyleInfo name="TableStyleMedium16" showFirstColumn="0" showLastColumn="1" showRowStripes="1" showColumnStripes="0"/>
  <extLst>
    <ext xmlns:x14="http://schemas.microsoft.com/office/spreadsheetml/2009/9/main" uri="{504A1905-F514-4f6f-8877-14C23A59335A}">
      <x14:table altTextSummary="Insira os detalhes de pagamento de cartão de crédito, como data, descrição, quantidade, nome do fornecedor e taxas de transação nesta tabela. O saldo excluindo juros é calculado automaticamente"/>
    </ext>
  </extLst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Dados341112" displayName="Dados341112" ref="B82:P92" totalsRowCount="1">
  <autoFilter ref="B82:P91" xr:uid="{00000000-0009-0000-0100-00000B000000}"/>
  <tableColumns count="15">
    <tableColumn id="1" xr3:uid="{00000000-0010-0000-0A00-000001000000}" name="Funcionários" totalsRowLabel="Total" dataDxfId="339"/>
    <tableColumn id="2" xr3:uid="{00000000-0010-0000-0A00-000002000000}" name="Data Admissão" dataDxfId="338"/>
    <tableColumn id="3" xr3:uid="{00000000-0010-0000-0A00-000003000000}" name="Janeiro" dataDxfId="337"/>
    <tableColumn id="4" xr3:uid="{00000000-0010-0000-0A00-000004000000}" name="Fevereiro" totalsRowFunction="sum" dataDxfId="336"/>
    <tableColumn id="5" xr3:uid="{00000000-0010-0000-0A00-000005000000}" name="Março" dataDxfId="335"/>
    <tableColumn id="6" xr3:uid="{00000000-0010-0000-0A00-000006000000}" name="Abril" totalsRowFunction="sum" dataDxfId="334"/>
    <tableColumn id="7" xr3:uid="{00000000-0010-0000-0A00-000007000000}" name="Maio" dataDxfId="333"/>
    <tableColumn id="8" xr3:uid="{00000000-0010-0000-0A00-000008000000}" name="Junho" dataDxfId="332"/>
    <tableColumn id="9" xr3:uid="{00000000-0010-0000-0A00-000009000000}" name="Julho" dataDxfId="331"/>
    <tableColumn id="10" xr3:uid="{00000000-0010-0000-0A00-00000A000000}" name="Agosto" dataDxfId="330"/>
    <tableColumn id="11" xr3:uid="{00000000-0010-0000-0A00-00000B000000}" name="Setembro" dataDxfId="329"/>
    <tableColumn id="12" xr3:uid="{00000000-0010-0000-0A00-00000C000000}" name="Outubro" dataDxfId="328"/>
    <tableColumn id="13" xr3:uid="{00000000-0010-0000-0A00-00000D000000}" name="Novembro" dataDxfId="327"/>
    <tableColumn id="14" xr3:uid="{00000000-0010-0000-0A00-00000E000000}" name="Dezembro" dataDxfId="326"/>
    <tableColumn id="15" xr3:uid="{00000000-0010-0000-0A00-00000F000000}" name="Total" dataDxfId="325"/>
  </tableColumns>
  <tableStyleInfo name="TableStyleMedium16" showFirstColumn="0" showLastColumn="1" showRowStripes="1" showColumnStripes="0"/>
  <extLst>
    <ext xmlns:x14="http://schemas.microsoft.com/office/spreadsheetml/2009/9/main" uri="{504A1905-F514-4f6f-8877-14C23A59335A}">
      <x14:table altTextSummary="Insira os detalhes de pagamento de cartão de crédito, como data, descrição, quantidade, nome do fornecedor e taxas de transação nesta tabela. O saldo excluindo juros é calculado automaticamente"/>
    </ext>
  </extLst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Dados13" displayName="Dados13" ref="B42:D46" totalsRowCount="1">
  <autoFilter ref="B42:D45" xr:uid="{00000000-0009-0000-0100-00000C000000}">
    <filterColumn colId="0" showButton="0"/>
    <filterColumn colId="1" showButton="0"/>
    <filterColumn colId="2" showButton="0"/>
  </autoFilter>
  <tableColumns count="3">
    <tableColumn id="1" xr3:uid="{00000000-0010-0000-0B00-000001000000}" name="Descrição" totalsRowLabel="TOTAL" dataDxfId="324"/>
    <tableColumn id="2" xr3:uid="{00000000-0010-0000-0B00-000002000000}" name="Vencimentos/Descontos" dataDxfId="323"/>
    <tableColumn id="3" xr3:uid="{00000000-0010-0000-0B00-000003000000}" name="Total (R$)" totalsRowFunction="custom" dataDxfId="322">
      <totalsRowFormula>D45</totalsRowFormula>
    </tableColumn>
  </tableColumns>
  <tableStyleInfo name="TableStyleMedium16" showFirstColumn="0" showLastColumn="1" showRowStripes="1" showColumnStripes="0"/>
  <extLst>
    <ext xmlns:x14="http://schemas.microsoft.com/office/spreadsheetml/2009/9/main" uri="{504A1905-F514-4f6f-8877-14C23A59335A}">
      <x14:table altTextSummary="Insira os detalhes de pagamento de cartão de crédito, como data, descrição, quantidade, nome do fornecedor e taxas de transação nesta tabela. O saldo excluindo juros é calculado automaticamente"/>
    </ext>
  </extLst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Dados1324" displayName="Dados1324" ref="B55:D58" totalsRowCount="1">
  <autoFilter ref="B55:D57" xr:uid="{00000000-0009-0000-0100-00000D000000}"/>
  <tableColumns count="3">
    <tableColumn id="1" xr3:uid="{00000000-0010-0000-0C00-000001000000}" name="Descrição" totalsRowLabel="TOTAL" dataDxfId="321"/>
    <tableColumn id="2" xr3:uid="{00000000-0010-0000-0C00-000002000000}" name="Vencimentos/Descontos" dataDxfId="320"/>
    <tableColumn id="3" xr3:uid="{00000000-0010-0000-0C00-000003000000}" name="Total (R$)" totalsRowFunction="custom" dataDxfId="319">
      <totalsRowFormula>D57</totalsRowFormula>
    </tableColumn>
  </tableColumns>
  <tableStyleInfo name="TableStyleMedium16" showFirstColumn="0" showLastColumn="1" showRowStripes="1" showColumnStripes="0"/>
  <extLst>
    <ext xmlns:x14="http://schemas.microsoft.com/office/spreadsheetml/2009/9/main" uri="{504A1905-F514-4f6f-8877-14C23A59335A}">
      <x14:table altTextSummary="Insira os detalhes de pagamento de cartão de crédito, como data, descrição, quantidade, nome do fornecedor e taxas de transação nesta tabela. O saldo excluindo juros é calculado automaticamente"/>
    </ext>
  </extLst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Dados1325" displayName="Dados1325" ref="B35:D39" totalsRowCount="1">
  <autoFilter ref="B35:D38" xr:uid="{00000000-0009-0000-0100-00000E000000}"/>
  <tableColumns count="3">
    <tableColumn id="1" xr3:uid="{00000000-0010-0000-0D00-000001000000}" name="Descrição" totalsRowLabel="TOTAL" dataDxfId="318"/>
    <tableColumn id="2" xr3:uid="{00000000-0010-0000-0D00-000002000000}" name="Vencimentos/Descontos" dataDxfId="317"/>
    <tableColumn id="3" xr3:uid="{00000000-0010-0000-0D00-000003000000}" name="Total (R$)" totalsRowFunction="custom" dataDxfId="316">
      <totalsRowFormula>D38</totalsRowFormula>
    </tableColumn>
  </tableColumns>
  <tableStyleInfo name="TableStyleMedium16" showFirstColumn="0" showLastColumn="1" showRowStripes="1" showColumnStripes="0"/>
  <extLst>
    <ext xmlns:x14="http://schemas.microsoft.com/office/spreadsheetml/2009/9/main" uri="{504A1905-F514-4f6f-8877-14C23A59335A}">
      <x14:table altTextSummary="Insira os detalhes de pagamento de cartão de crédito, como data, descrição, quantidade, nome do fornecedor e taxas de transação nesta tabela. O saldo excluindo juros é calculado automaticamente"/>
    </ext>
  </extLst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Dados132526" displayName="Dados132526" ref="B12:D16" totalsRowCount="1">
  <autoFilter ref="B12:D15" xr:uid="{00000000-0009-0000-0100-00000F000000}"/>
  <tableColumns count="3">
    <tableColumn id="1" xr3:uid="{00000000-0010-0000-0E00-000001000000}" name="Descrição" totalsRowLabel="TOTAL" dataDxfId="315"/>
    <tableColumn id="2" xr3:uid="{00000000-0010-0000-0E00-000002000000}" name="Vencimentos/Descontos" dataDxfId="314"/>
    <tableColumn id="3" xr3:uid="{00000000-0010-0000-0E00-000003000000}" name="Total (R$)" totalsRowFunction="custom" dataDxfId="313">
      <totalsRowFormula>D15</totalsRowFormula>
    </tableColumn>
  </tableColumns>
  <tableStyleInfo name="TableStyleMedium16" showFirstColumn="0" showLastColumn="1" showRowStripes="1" showColumnStripes="0"/>
  <extLst>
    <ext xmlns:x14="http://schemas.microsoft.com/office/spreadsheetml/2009/9/main" uri="{504A1905-F514-4f6f-8877-14C23A59335A}">
      <x14:table altTextSummary="Insira os detalhes de pagamento de cartão de crédito, como data, descrição, quantidade, nome do fornecedor e taxas de transação nesta tabela. O saldo excluindo juros é calculado automaticamente"/>
    </ext>
  </extLst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Dados13252627" displayName="Dados13252627" ref="B19:D22" totalsRowCount="1">
  <autoFilter ref="B19:D21" xr:uid="{00000000-0009-0000-0100-000010000000}"/>
  <tableColumns count="3">
    <tableColumn id="1" xr3:uid="{00000000-0010-0000-0F00-000001000000}" name="Descrição" totalsRowLabel="TOTAL BRUTO" dataDxfId="312"/>
    <tableColumn id="2" xr3:uid="{00000000-0010-0000-0F00-000002000000}" name="Vencimentos/Descontos" dataDxfId="311"/>
    <tableColumn id="3" xr3:uid="{00000000-0010-0000-0F00-000003000000}" name="Total (R$)" totalsRowFunction="custom" dataDxfId="310">
      <totalsRowFormula>D21</totalsRowFormula>
    </tableColumn>
  </tableColumns>
  <tableStyleInfo name="TableStyleMedium16" showFirstColumn="0" showLastColumn="1" showRowStripes="1" showColumnStripes="0"/>
  <extLst>
    <ext xmlns:x14="http://schemas.microsoft.com/office/spreadsheetml/2009/9/main" uri="{504A1905-F514-4f6f-8877-14C23A59335A}">
      <x14:table altTextSummary="Insira os detalhes de pagamento de cartão de crédito, como data, descrição, quantidade, nome do fornecedor e taxas de transação nesta tabela. O saldo excluindo juros é calculado automaticamente"/>
    </ext>
  </extLst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Dados132428" displayName="Dados132428" ref="B61:D64" totalsRowCount="1">
  <autoFilter ref="B61:D63" xr:uid="{00000000-0009-0000-0100-000011000000}"/>
  <tableColumns count="3">
    <tableColumn id="1" xr3:uid="{00000000-0010-0000-1000-000001000000}" name="Descrição" totalsRowLabel="TOTAL" dataDxfId="309"/>
    <tableColumn id="2" xr3:uid="{00000000-0010-0000-1000-000002000000}" name="Vencimentos/Descontos" dataDxfId="308"/>
    <tableColumn id="3" xr3:uid="{00000000-0010-0000-1000-000003000000}" name="Total (R$)" totalsRowFunction="custom" dataDxfId="307">
      <totalsRowFormula>D63</totalsRowFormula>
    </tableColumn>
  </tableColumns>
  <tableStyleInfo name="TableStyleMedium16" showFirstColumn="0" showLastColumn="1" showRowStripes="1" showColumnStripes="0"/>
  <extLst>
    <ext xmlns:x14="http://schemas.microsoft.com/office/spreadsheetml/2009/9/main" uri="{504A1905-F514-4f6f-8877-14C23A59335A}">
      <x14:table altTextSummary="Insira os detalhes de pagamento de cartão de crédito, como data, descrição, quantidade, nome do fornecedor e taxas de transação nesta tabela. O saldo excluindo juros é calculado automaticamente"/>
    </ext>
  </extLst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Dados1329" displayName="Dados1329" ref="B27:D32" totalsRowCount="1">
  <autoFilter ref="B27:D31" xr:uid="{00000000-0009-0000-0100-000012000000}"/>
  <tableColumns count="3">
    <tableColumn id="1" xr3:uid="{00000000-0010-0000-1100-000001000000}" name="Descrição" totalsRowLabel="TOTAL" dataDxfId="306"/>
    <tableColumn id="2" xr3:uid="{00000000-0010-0000-1100-000002000000}" name="Vencimentos/Descontos" dataDxfId="305"/>
    <tableColumn id="3" xr3:uid="{00000000-0010-0000-1100-000003000000}" name="Total (R$)" totalsRowFunction="custom" dataDxfId="304">
      <totalsRowFormula>D31</totalsRowFormula>
    </tableColumn>
  </tableColumns>
  <tableStyleInfo name="TableStyleMedium16" showFirstColumn="0" showLastColumn="1" showRowStripes="1" showColumnStripes="0"/>
  <extLst>
    <ext xmlns:x14="http://schemas.microsoft.com/office/spreadsheetml/2009/9/main" uri="{504A1905-F514-4f6f-8877-14C23A59335A}">
      <x14:table altTextSummary="Insira os detalhes de pagamento de cartão de crédito, como data, descrição, quantidade, nome do fornecedor e taxas de transação nesta tabela. O saldo excluindo juros é calculado automaticamente"/>
    </ext>
  </extLst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Dados13242830" displayName="Dados13242830" ref="B49:D52" totalsRowCount="1">
  <autoFilter ref="B49:D51" xr:uid="{00000000-0009-0000-0100-000013000000}"/>
  <tableColumns count="3">
    <tableColumn id="1" xr3:uid="{00000000-0010-0000-1200-000001000000}" name="Descrição" totalsRowLabel="TOTAL" dataDxfId="303"/>
    <tableColumn id="2" xr3:uid="{00000000-0010-0000-1200-000002000000}" name="Vencimentos/Descontos" dataDxfId="302"/>
    <tableColumn id="3" xr3:uid="{00000000-0010-0000-1200-000003000000}" name="Total (R$)" totalsRowFunction="custom" dataDxfId="301">
      <totalsRowFormula>D51</totalsRowFormula>
    </tableColumn>
  </tableColumns>
  <tableStyleInfo name="TableStyleMedium16" showFirstColumn="0" showLastColumn="1" showRowStripes="1" showColumnStripes="0"/>
  <extLst>
    <ext xmlns:x14="http://schemas.microsoft.com/office/spreadsheetml/2009/9/main" uri="{504A1905-F514-4f6f-8877-14C23A59335A}">
      <x14:table altTextSummary="Insira os detalhes de pagamento de cartão de crédito, como data, descrição, quantidade, nome do fornecedor e taxas de transação nesta tabela. O saldo excluindo juros é calculado automaticamente"/>
    </ext>
  </extLst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Dados1331" displayName="Dados1331" ref="B4:D9" totalsRowCount="1">
  <autoFilter ref="B4:D8" xr:uid="{00000000-0009-0000-0100-000014000000}"/>
  <tableColumns count="3">
    <tableColumn id="1" xr3:uid="{00000000-0010-0000-1300-000001000000}" name="Descrição" totalsRowLabel="TOTAL" dataDxfId="300"/>
    <tableColumn id="2" xr3:uid="{00000000-0010-0000-1300-000002000000}" name="Vencimentos/Descontos" dataDxfId="299"/>
    <tableColumn id="3" xr3:uid="{00000000-0010-0000-1300-000003000000}" name="Total (R$)" totalsRowFunction="custom" dataDxfId="298">
      <totalsRowFormula>D8</totalsRowFormula>
    </tableColumn>
  </tableColumns>
  <tableStyleInfo name="TableStyleMedium16" showFirstColumn="0" showLastColumn="1" showRowStripes="1" showColumnStripes="0"/>
  <extLst>
    <ext xmlns:x14="http://schemas.microsoft.com/office/spreadsheetml/2009/9/main" uri="{504A1905-F514-4f6f-8877-14C23A59335A}">
      <x14:table altTextSummary="Insira os detalhes de pagamento de cartão de crédito, como data, descrição, quantidade, nome do fornecedor e taxas de transação nesta tabela. O saldo excluindo juros é calculado automaticamente"/>
    </ext>
  </extLst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Dados14" displayName="Dados14" ref="B3:P20" totalsRowCount="1">
  <autoFilter ref="B3:P19" xr:uid="{00000000-0009-0000-0100-000015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tableColumns count="15">
    <tableColumn id="1" xr3:uid="{00000000-0010-0000-1400-000001000000}" name="Funcionários" totalsRowLabel="Total" dataDxfId="297"/>
    <tableColumn id="2" xr3:uid="{00000000-0010-0000-1400-000002000000}" name="Data Admissão" dataDxfId="296"/>
    <tableColumn id="3" xr3:uid="{00000000-0010-0000-1400-000003000000}" name="Janeiro" totalsRowFunction="sum" dataDxfId="295"/>
    <tableColumn id="4" xr3:uid="{00000000-0010-0000-1400-000004000000}" name="Fevereiro" totalsRowFunction="sum" dataDxfId="294"/>
    <tableColumn id="5" xr3:uid="{00000000-0010-0000-1400-000005000000}" name="Março" totalsRowFunction="sum" dataDxfId="293"/>
    <tableColumn id="6" xr3:uid="{00000000-0010-0000-1400-000006000000}" name="Abril" totalsRowFunction="sum" dataDxfId="292"/>
    <tableColumn id="7" xr3:uid="{00000000-0010-0000-1400-000007000000}" name="Maio" totalsRowFunction="sum" dataDxfId="291"/>
    <tableColumn id="8" xr3:uid="{00000000-0010-0000-1400-000008000000}" name="Junho" totalsRowFunction="sum" dataDxfId="290"/>
    <tableColumn id="9" xr3:uid="{00000000-0010-0000-1400-000009000000}" name="Julho" totalsRowFunction="sum" dataDxfId="289"/>
    <tableColumn id="10" xr3:uid="{00000000-0010-0000-1400-00000A000000}" name="Agosto" totalsRowFunction="sum" dataDxfId="288"/>
    <tableColumn id="11" xr3:uid="{00000000-0010-0000-1400-00000B000000}" name="Setembro" totalsRowFunction="sum" dataDxfId="287"/>
    <tableColumn id="12" xr3:uid="{00000000-0010-0000-1400-00000C000000}" name="Outubro" totalsRowFunction="sum" dataDxfId="286"/>
    <tableColumn id="13" xr3:uid="{00000000-0010-0000-1400-00000D000000}" name="Novembro" totalsRowFunction="sum" dataDxfId="285"/>
    <tableColumn id="14" xr3:uid="{00000000-0010-0000-1400-00000E000000}" name="Dezembro" totalsRowFunction="sum" dataDxfId="284"/>
    <tableColumn id="15" xr3:uid="{00000000-0010-0000-1400-00000F000000}" name="Total" dataDxfId="283"/>
  </tableColumns>
  <tableStyleInfo name="TableStyleMedium16" showFirstColumn="0" showLastColumn="1" showRowStripes="1" showColumnStripes="0"/>
  <extLst>
    <ext xmlns:x14="http://schemas.microsoft.com/office/spreadsheetml/2009/9/main" uri="{504A1905-F514-4f6f-8877-14C23A59335A}">
      <x14:table altTextSummary="Insira os detalhes de pagamento de cartão de crédito, como data, descrição, quantidade, nome do fornecedor e taxas de transação nesta tabela. O saldo excluindo juros é calculado automaticamente"/>
    </ext>
  </extLst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Dados1433" displayName="Dados1433" ref="B23:Q40" totalsRowCount="1">
  <autoFilter ref="B23:Q39" xr:uid="{00000000-0009-0000-0100-000016000000}"/>
  <tableColumns count="16">
    <tableColumn id="1" xr3:uid="{00000000-0010-0000-1500-000001000000}" name="Funcionários" totalsRowLabel="Total" dataDxfId="282"/>
    <tableColumn id="2" xr3:uid="{00000000-0010-0000-1500-000002000000}" name="Data Admissão" dataDxfId="281"/>
    <tableColumn id="3" xr3:uid="{00000000-0010-0000-1500-000003000000}" name="Janeiro" totalsRowFunction="sum" dataDxfId="280"/>
    <tableColumn id="4" xr3:uid="{00000000-0010-0000-1500-000004000000}" name="Fevereiro" totalsRowFunction="sum" dataDxfId="279"/>
    <tableColumn id="5" xr3:uid="{00000000-0010-0000-1500-000005000000}" name="Março" totalsRowFunction="sum" dataDxfId="278"/>
    <tableColumn id="6" xr3:uid="{00000000-0010-0000-1500-000006000000}" name="Abril" totalsRowFunction="sum" dataDxfId="277"/>
    <tableColumn id="7" xr3:uid="{00000000-0010-0000-1500-000007000000}" name="Maio" totalsRowFunction="sum" dataDxfId="276"/>
    <tableColumn id="8" xr3:uid="{00000000-0010-0000-1500-000008000000}" name="Junho" totalsRowFunction="sum" dataDxfId="275"/>
    <tableColumn id="9" xr3:uid="{00000000-0010-0000-1500-000009000000}" name="Julho" totalsRowFunction="sum" dataDxfId="274"/>
    <tableColumn id="10" xr3:uid="{00000000-0010-0000-1500-00000A000000}" name="Agosto" totalsRowFunction="sum" dataDxfId="273"/>
    <tableColumn id="11" xr3:uid="{00000000-0010-0000-1500-00000B000000}" name="Setembro" totalsRowFunction="sum" dataDxfId="272"/>
    <tableColumn id="12" xr3:uid="{00000000-0010-0000-1500-00000C000000}" name="Outubro" totalsRowFunction="sum" dataDxfId="271"/>
    <tableColumn id="13" xr3:uid="{00000000-0010-0000-1500-00000D000000}" name="Novembro" totalsRowFunction="sum" dataDxfId="270"/>
    <tableColumn id="14" xr3:uid="{00000000-0010-0000-1500-00000E000000}" name="Dezembro" totalsRowFunction="sum" dataDxfId="269"/>
    <tableColumn id="15" xr3:uid="{00000000-0010-0000-1500-00000F000000}" name="Total" totalsRowFunction="sum" dataDxfId="268"/>
    <tableColumn id="16" xr3:uid="{00000000-0010-0000-1500-000010000000}" name="Coluna1" dataDxfId="267"/>
  </tableColumns>
  <tableStyleInfo name="TableStyleMedium16" showFirstColumn="0" showLastColumn="1" showRowStripes="1" showColumnStripes="0"/>
  <extLst>
    <ext xmlns:x14="http://schemas.microsoft.com/office/spreadsheetml/2009/9/main" uri="{504A1905-F514-4f6f-8877-14C23A59335A}">
      <x14:table altTextSummary="Insira os detalhes de pagamento de cartão de crédito, como data, descrição, quantidade, nome do fornecedor e taxas de transação nesta tabela. O saldo excluindo juros é calculado automaticamente"/>
    </ext>
  </extLst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Dados143334" displayName="Dados143334" ref="B83:P100" totalsRowCount="1">
  <autoFilter ref="B83:P99" xr:uid="{00000000-0009-0000-0100-000017000000}"/>
  <tableColumns count="15">
    <tableColumn id="1" xr3:uid="{00000000-0010-0000-1600-000001000000}" name="Funcionários" totalsRowLabel="Total" dataDxfId="266"/>
    <tableColumn id="2" xr3:uid="{00000000-0010-0000-1600-000002000000}" name="Data Admissão" dataDxfId="265"/>
    <tableColumn id="3" xr3:uid="{00000000-0010-0000-1600-000003000000}" name="Janeiro" totalsRowFunction="sum" dataDxfId="264"/>
    <tableColumn id="4" xr3:uid="{00000000-0010-0000-1600-000004000000}" name="Fevereiro" totalsRowFunction="sum" dataDxfId="263"/>
    <tableColumn id="5" xr3:uid="{00000000-0010-0000-1600-000005000000}" name="Março" totalsRowFunction="sum" dataDxfId="262"/>
    <tableColumn id="6" xr3:uid="{00000000-0010-0000-1600-000006000000}" name="Abril" totalsRowFunction="sum" dataDxfId="261"/>
    <tableColumn id="7" xr3:uid="{00000000-0010-0000-1600-000007000000}" name="Maio" totalsRowFunction="sum" dataDxfId="260"/>
    <tableColumn id="8" xr3:uid="{00000000-0010-0000-1600-000008000000}" name="Junho" totalsRowFunction="sum" dataDxfId="259"/>
    <tableColumn id="9" xr3:uid="{00000000-0010-0000-1600-000009000000}" name="Julho" totalsRowFunction="sum" dataDxfId="258"/>
    <tableColumn id="10" xr3:uid="{00000000-0010-0000-1600-00000A000000}" name="Agosto" totalsRowFunction="sum" dataDxfId="257"/>
    <tableColumn id="11" xr3:uid="{00000000-0010-0000-1600-00000B000000}" name="Setembro" totalsRowFunction="sum" dataDxfId="256"/>
    <tableColumn id="12" xr3:uid="{00000000-0010-0000-1600-00000C000000}" name="Outubro" totalsRowFunction="sum" dataDxfId="255"/>
    <tableColumn id="13" xr3:uid="{00000000-0010-0000-1600-00000D000000}" name="Novembro" totalsRowFunction="sum" dataDxfId="254"/>
    <tableColumn id="14" xr3:uid="{00000000-0010-0000-1600-00000E000000}" name="Dezembro" totalsRowFunction="sum" dataDxfId="253"/>
    <tableColumn id="15" xr3:uid="{00000000-0010-0000-1600-00000F000000}" name="Total" dataDxfId="252"/>
  </tableColumns>
  <tableStyleInfo name="TableStyleMedium16" showFirstColumn="0" showLastColumn="1" showRowStripes="1" showColumnStripes="0"/>
  <extLst>
    <ext xmlns:x14="http://schemas.microsoft.com/office/spreadsheetml/2009/9/main" uri="{504A1905-F514-4f6f-8877-14C23A59335A}">
      <x14:table altTextSummary="Insira os detalhes de pagamento de cartão de crédito, como data, descrição, quantidade, nome do fornecedor e taxas de transação nesta tabela. O saldo excluindo juros é calculado automaticamente"/>
    </ext>
  </extLst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Dados143335" displayName="Dados143335" ref="B43:P60" totalsRowCount="1">
  <autoFilter ref="B43:P59" xr:uid="{00000000-0009-0000-0100-000018000000}"/>
  <tableColumns count="15">
    <tableColumn id="1" xr3:uid="{00000000-0010-0000-1700-000001000000}" name="Funcionários" totalsRowLabel="Total" dataDxfId="251"/>
    <tableColumn id="2" xr3:uid="{00000000-0010-0000-1700-000002000000}" name="Data Admissão" dataDxfId="250"/>
    <tableColumn id="3" xr3:uid="{00000000-0010-0000-1700-000003000000}" name="Janeiro" totalsRowFunction="sum" dataDxfId="249"/>
    <tableColumn id="4" xr3:uid="{00000000-0010-0000-1700-000004000000}" name="Fevereiro" totalsRowFunction="sum" dataDxfId="248"/>
    <tableColumn id="5" xr3:uid="{00000000-0010-0000-1700-000005000000}" name="Março" totalsRowFunction="sum" dataDxfId="247"/>
    <tableColumn id="6" xr3:uid="{00000000-0010-0000-1700-000006000000}" name="Abril" totalsRowFunction="sum" dataDxfId="246"/>
    <tableColumn id="7" xr3:uid="{00000000-0010-0000-1700-000007000000}" name="Maio" totalsRowFunction="sum" dataDxfId="245"/>
    <tableColumn id="8" xr3:uid="{00000000-0010-0000-1700-000008000000}" name="Junho" totalsRowFunction="sum" dataDxfId="244"/>
    <tableColumn id="9" xr3:uid="{00000000-0010-0000-1700-000009000000}" name="Julho" totalsRowFunction="sum" dataDxfId="243"/>
    <tableColumn id="10" xr3:uid="{00000000-0010-0000-1700-00000A000000}" name="Agosto" totalsRowFunction="sum" dataDxfId="242"/>
    <tableColumn id="11" xr3:uid="{00000000-0010-0000-1700-00000B000000}" name="Setembro" totalsRowFunction="sum" dataDxfId="241"/>
    <tableColumn id="12" xr3:uid="{00000000-0010-0000-1700-00000C000000}" name="Outubro" totalsRowFunction="sum" dataDxfId="240"/>
    <tableColumn id="13" xr3:uid="{00000000-0010-0000-1700-00000D000000}" name="Novembro" totalsRowFunction="sum" dataDxfId="239"/>
    <tableColumn id="14" xr3:uid="{00000000-0010-0000-1700-00000E000000}" name="Dezembro" totalsRowFunction="sum" dataDxfId="238"/>
    <tableColumn id="15" xr3:uid="{00000000-0010-0000-1700-00000F000000}" name="Total" dataDxfId="237"/>
  </tableColumns>
  <tableStyleInfo name="TableStyleMedium16" showFirstColumn="0" showLastColumn="1" showRowStripes="1" showColumnStripes="0"/>
  <extLst>
    <ext xmlns:x14="http://schemas.microsoft.com/office/spreadsheetml/2009/9/main" uri="{504A1905-F514-4f6f-8877-14C23A59335A}">
      <x14:table altTextSummary="Insira os detalhes de pagamento de cartão de crédito, como data, descrição, quantidade, nome do fornecedor e taxas de transação nesta tabela. O saldo excluindo juros é calculado automaticamente"/>
    </ext>
  </extLst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Dados143336" displayName="Dados143336" ref="B62:Q79" totalsRowCount="1">
  <autoFilter ref="B62:Q78" xr:uid="{00000000-0009-0000-0100-000019000000}"/>
  <tableColumns count="16">
    <tableColumn id="1" xr3:uid="{00000000-0010-0000-1800-000001000000}" name="Funcionários" totalsRowLabel="Total" dataDxfId="236"/>
    <tableColumn id="2" xr3:uid="{00000000-0010-0000-1800-000002000000}" name="Data Admissão" dataDxfId="235"/>
    <tableColumn id="3" xr3:uid="{00000000-0010-0000-1800-000003000000}" name="Janeiro" totalsRowFunction="sum" dataDxfId="234"/>
    <tableColumn id="4" xr3:uid="{00000000-0010-0000-1800-000004000000}" name="Fevereiro" totalsRowFunction="sum" dataDxfId="233"/>
    <tableColumn id="5" xr3:uid="{00000000-0010-0000-1800-000005000000}" name="Março" totalsRowFunction="sum" dataDxfId="232"/>
    <tableColumn id="6" xr3:uid="{00000000-0010-0000-1800-000006000000}" name="Abril" totalsRowFunction="sum" dataDxfId="231"/>
    <tableColumn id="7" xr3:uid="{00000000-0010-0000-1800-000007000000}" name="Maio" totalsRowFunction="sum" dataDxfId="230"/>
    <tableColumn id="8" xr3:uid="{00000000-0010-0000-1800-000008000000}" name="Junho" totalsRowFunction="sum" dataDxfId="229"/>
    <tableColumn id="9" xr3:uid="{00000000-0010-0000-1800-000009000000}" name="Julho" totalsRowFunction="sum" dataDxfId="228"/>
    <tableColumn id="10" xr3:uid="{00000000-0010-0000-1800-00000A000000}" name="Agosto" totalsRowFunction="sum" dataDxfId="227"/>
    <tableColumn id="11" xr3:uid="{00000000-0010-0000-1800-00000B000000}" name="Setembro" totalsRowFunction="sum" dataDxfId="226"/>
    <tableColumn id="12" xr3:uid="{00000000-0010-0000-1800-00000C000000}" name="Outubro" totalsRowFunction="sum" dataDxfId="225"/>
    <tableColumn id="13" xr3:uid="{00000000-0010-0000-1800-00000D000000}" name="Novembro" totalsRowFunction="sum" dataDxfId="224"/>
    <tableColumn id="14" xr3:uid="{00000000-0010-0000-1800-00000E000000}" name="Dezembro" totalsRowFunction="sum" dataDxfId="223"/>
    <tableColumn id="15" xr3:uid="{00000000-0010-0000-1800-00000F000000}" name="Total" totalsRowFunction="sum" dataDxfId="222"/>
    <tableColumn id="16" xr3:uid="{00000000-0010-0000-1800-000010000000}" name="Coluna1" totalsRowFunction="custom" dataDxfId="221">
      <totalsRowFormula>SUBTOTAL(109,Dados143336[Funcionários])</totalsRowFormula>
    </tableColumn>
  </tableColumns>
  <tableStyleInfo name="TableStyleMedium16" showFirstColumn="0" showLastColumn="1" showRowStripes="1" showColumnStripes="0"/>
  <extLst>
    <ext xmlns:x14="http://schemas.microsoft.com/office/spreadsheetml/2009/9/main" uri="{504A1905-F514-4f6f-8877-14C23A59335A}">
      <x14:table altTextSummary="Insira os detalhes de pagamento de cartão de crédito, como data, descrição, quantidade, nome do fornecedor e taxas de transação nesta tabela. O saldo excluindo juros é calculado automaticamente"/>
    </ext>
  </extLst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Dados14333444" displayName="Dados14333444" ref="B103:P120" totalsRowCount="1">
  <autoFilter ref="B103:P119" xr:uid="{00000000-0009-0000-0100-00001A000000}"/>
  <tableColumns count="15">
    <tableColumn id="1" xr3:uid="{00000000-0010-0000-1900-000001000000}" name="Funcionários" totalsRowLabel="Total" dataDxfId="220"/>
    <tableColumn id="2" xr3:uid="{00000000-0010-0000-1900-000002000000}" name="Data Admissão" dataDxfId="219"/>
    <tableColumn id="3" xr3:uid="{00000000-0010-0000-1900-000003000000}" name="Janeiro" totalsRowFunction="sum" dataDxfId="218"/>
    <tableColumn id="4" xr3:uid="{00000000-0010-0000-1900-000004000000}" name="Fevereiro" totalsRowFunction="sum" dataDxfId="217"/>
    <tableColumn id="5" xr3:uid="{00000000-0010-0000-1900-000005000000}" name="Março" totalsRowFunction="sum" dataDxfId="216"/>
    <tableColumn id="6" xr3:uid="{00000000-0010-0000-1900-000006000000}" name="Abril" totalsRowFunction="sum" dataDxfId="215"/>
    <tableColumn id="7" xr3:uid="{00000000-0010-0000-1900-000007000000}" name="Maio" totalsRowFunction="sum" dataDxfId="214"/>
    <tableColumn id="8" xr3:uid="{00000000-0010-0000-1900-000008000000}" name="Junho" totalsRowFunction="sum" dataDxfId="213"/>
    <tableColumn id="9" xr3:uid="{00000000-0010-0000-1900-000009000000}" name="Julho" totalsRowFunction="sum" dataDxfId="212"/>
    <tableColumn id="10" xr3:uid="{00000000-0010-0000-1900-00000A000000}" name="Agosto" totalsRowFunction="sum" dataDxfId="211"/>
    <tableColumn id="11" xr3:uid="{00000000-0010-0000-1900-00000B000000}" name="Setembro" totalsRowFunction="sum" dataDxfId="210"/>
    <tableColumn id="12" xr3:uid="{00000000-0010-0000-1900-00000C000000}" name="Outubro" totalsRowFunction="sum" dataDxfId="209"/>
    <tableColumn id="13" xr3:uid="{00000000-0010-0000-1900-00000D000000}" name="Novembro" totalsRowFunction="sum" dataDxfId="208"/>
    <tableColumn id="14" xr3:uid="{00000000-0010-0000-1900-00000E000000}" name="Dezembro" totalsRowFunction="sum" dataDxfId="207"/>
    <tableColumn id="15" xr3:uid="{00000000-0010-0000-1900-00000F000000}" name="Total" dataDxfId="206"/>
  </tableColumns>
  <tableStyleInfo name="TableStyleMedium16" showFirstColumn="0" showLastColumn="1" showRowStripes="1" showColumnStripes="0"/>
  <extLst>
    <ext xmlns:x14="http://schemas.microsoft.com/office/spreadsheetml/2009/9/main" uri="{504A1905-F514-4f6f-8877-14C23A59335A}">
      <x14:table altTextSummary="Insira os detalhes de pagamento de cartão de crédito, como data, descrição, quantidade, nome do fornecedor e taxas de transação nesta tabela. O saldo excluindo juros é calculado automaticamente"/>
    </ext>
  </extLst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Dados1415" displayName="Dados1415" ref="B3:P22" totalsRowCount="1">
  <autoFilter ref="B3:P21" xr:uid="{00000000-0009-0000-0100-00001B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tableColumns count="15">
    <tableColumn id="1" xr3:uid="{00000000-0010-0000-1A00-000001000000}" name="Funcionários" totalsRowLabel="Total" dataDxfId="205"/>
    <tableColumn id="2" xr3:uid="{00000000-0010-0000-1A00-000002000000}" name="Data Admissão" dataDxfId="204"/>
    <tableColumn id="3" xr3:uid="{00000000-0010-0000-1A00-000003000000}" name="Janeiro" totalsRowFunction="sum" dataDxfId="203"/>
    <tableColumn id="4" xr3:uid="{00000000-0010-0000-1A00-000004000000}" name="Fevereiro" totalsRowFunction="sum" dataDxfId="202"/>
    <tableColumn id="5" xr3:uid="{00000000-0010-0000-1A00-000005000000}" name="Março" totalsRowFunction="sum" dataDxfId="201"/>
    <tableColumn id="6" xr3:uid="{00000000-0010-0000-1A00-000006000000}" name="Abril" totalsRowFunction="sum" dataDxfId="200"/>
    <tableColumn id="7" xr3:uid="{00000000-0010-0000-1A00-000007000000}" name="Maio" totalsRowFunction="sum" dataDxfId="199"/>
    <tableColumn id="8" xr3:uid="{00000000-0010-0000-1A00-000008000000}" name="Junho" totalsRowFunction="sum" dataDxfId="198"/>
    <tableColumn id="9" xr3:uid="{00000000-0010-0000-1A00-000009000000}" name="Julho" totalsRowFunction="sum" dataDxfId="197"/>
    <tableColumn id="10" xr3:uid="{00000000-0010-0000-1A00-00000A000000}" name="Agosto" totalsRowFunction="sum" dataDxfId="196"/>
    <tableColumn id="11" xr3:uid="{00000000-0010-0000-1A00-00000B000000}" name="Setembro" totalsRowFunction="sum" dataDxfId="195"/>
    <tableColumn id="12" xr3:uid="{00000000-0010-0000-1A00-00000C000000}" name="Outubro" totalsRowFunction="sum" dataDxfId="194"/>
    <tableColumn id="13" xr3:uid="{00000000-0010-0000-1A00-00000D000000}" name="Novembro" totalsRowFunction="sum" dataDxfId="193"/>
    <tableColumn id="14" xr3:uid="{00000000-0010-0000-1A00-00000E000000}" name="Dezembro" totalsRowFunction="sum" dataDxfId="192"/>
    <tableColumn id="15" xr3:uid="{00000000-0010-0000-1A00-00000F000000}" name="Total" totalsRowFunction="sum" dataDxfId="191"/>
  </tableColumns>
  <tableStyleInfo name="TableStyleMedium16" showFirstColumn="0" showLastColumn="1" showRowStripes="1" showColumnStripes="0"/>
  <extLst>
    <ext xmlns:x14="http://schemas.microsoft.com/office/spreadsheetml/2009/9/main" uri="{504A1905-F514-4f6f-8877-14C23A59335A}">
      <x14:table altTextSummary="Insira os detalhes de pagamento de cartão de crédito, como data, descrição, quantidade, nome do fornecedor e taxas de transação nesta tabela. O saldo excluindo juros é calculado automaticamente"/>
    </ext>
  </extLst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Dados143316" displayName="Dados143316" ref="B25:P44" totalsRowCount="1">
  <autoFilter ref="B25:P43" xr:uid="{00000000-0009-0000-0100-00001C000000}"/>
  <tableColumns count="15">
    <tableColumn id="1" xr3:uid="{00000000-0010-0000-1B00-000001000000}" name="Funcionários" totalsRowLabel="Total" dataDxfId="190"/>
    <tableColumn id="2" xr3:uid="{00000000-0010-0000-1B00-000002000000}" name="Data Admissão" dataDxfId="189"/>
    <tableColumn id="3" xr3:uid="{00000000-0010-0000-1B00-000003000000}" name="Janeiro" totalsRowFunction="sum" dataDxfId="188"/>
    <tableColumn id="4" xr3:uid="{00000000-0010-0000-1B00-000004000000}" name="Fevereiro" totalsRowFunction="sum" dataDxfId="187"/>
    <tableColumn id="5" xr3:uid="{00000000-0010-0000-1B00-000005000000}" name="Março" totalsRowFunction="sum" dataDxfId="186"/>
    <tableColumn id="6" xr3:uid="{00000000-0010-0000-1B00-000006000000}" name="Abril" totalsRowFunction="sum" dataDxfId="185"/>
    <tableColumn id="7" xr3:uid="{00000000-0010-0000-1B00-000007000000}" name="Maio" totalsRowFunction="sum" dataDxfId="184"/>
    <tableColumn id="8" xr3:uid="{00000000-0010-0000-1B00-000008000000}" name="Junho" totalsRowFunction="sum" dataDxfId="183"/>
    <tableColumn id="9" xr3:uid="{00000000-0010-0000-1B00-000009000000}" name="Julho" totalsRowFunction="sum" dataDxfId="182"/>
    <tableColumn id="10" xr3:uid="{00000000-0010-0000-1B00-00000A000000}" name="Agosto" totalsRowFunction="sum" dataDxfId="181"/>
    <tableColumn id="11" xr3:uid="{00000000-0010-0000-1B00-00000B000000}" name="Setembro" totalsRowFunction="sum" dataDxfId="180"/>
    <tableColumn id="12" xr3:uid="{00000000-0010-0000-1B00-00000C000000}" name="Outubro" totalsRowFunction="sum" dataDxfId="179"/>
    <tableColumn id="13" xr3:uid="{00000000-0010-0000-1B00-00000D000000}" name="Novembro" totalsRowFunction="sum" dataDxfId="178"/>
    <tableColumn id="14" xr3:uid="{00000000-0010-0000-1B00-00000E000000}" name="Dezembro" totalsRowFunction="sum" dataDxfId="177"/>
    <tableColumn id="15" xr3:uid="{00000000-0010-0000-1B00-00000F000000}" name="Total" dataDxfId="176"/>
  </tableColumns>
  <tableStyleInfo name="TableStyleMedium16" showFirstColumn="0" showLastColumn="1" showRowStripes="1" showColumnStripes="0"/>
  <extLst>
    <ext xmlns:x14="http://schemas.microsoft.com/office/spreadsheetml/2009/9/main" uri="{504A1905-F514-4f6f-8877-14C23A59335A}">
      <x14:table altTextSummary="Insira os detalhes de pagamento de cartão de crédito, como data, descrição, quantidade, nome do fornecedor e taxas de transação nesta tabela. O saldo excluindo juros é calculado automaticamente"/>
    </ext>
  </extLst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Dados14333417" displayName="Dados14333417" ref="B91:P110" totalsRowCount="1">
  <autoFilter ref="B91:P109" xr:uid="{00000000-0009-0000-0100-00001D000000}"/>
  <tableColumns count="15">
    <tableColumn id="1" xr3:uid="{00000000-0010-0000-1C00-000001000000}" name="Funcionários" totalsRowLabel="Total" dataDxfId="175"/>
    <tableColumn id="2" xr3:uid="{00000000-0010-0000-1C00-000002000000}" name="Data Admissão" dataDxfId="174"/>
    <tableColumn id="3" xr3:uid="{00000000-0010-0000-1C00-000003000000}" name="Janeiro" dataDxfId="173"/>
    <tableColumn id="4" xr3:uid="{00000000-0010-0000-1C00-000004000000}" name="Fevereiro" totalsRowFunction="sum" dataDxfId="172"/>
    <tableColumn id="5" xr3:uid="{00000000-0010-0000-1C00-000005000000}" name="Março" totalsRowFunction="sum" dataDxfId="171"/>
    <tableColumn id="6" xr3:uid="{00000000-0010-0000-1C00-000006000000}" name="Abril" totalsRowFunction="sum" dataDxfId="170"/>
    <tableColumn id="7" xr3:uid="{00000000-0010-0000-1C00-000007000000}" name="Maio" totalsRowFunction="sum" dataDxfId="169"/>
    <tableColumn id="8" xr3:uid="{00000000-0010-0000-1C00-000008000000}" name="Junho" totalsRowFunction="sum" dataDxfId="168"/>
    <tableColumn id="9" xr3:uid="{00000000-0010-0000-1C00-000009000000}" name="Julho" totalsRowFunction="sum" dataDxfId="167"/>
    <tableColumn id="10" xr3:uid="{00000000-0010-0000-1C00-00000A000000}" name="Agosto" totalsRowFunction="sum" dataDxfId="166"/>
    <tableColumn id="11" xr3:uid="{00000000-0010-0000-1C00-00000B000000}" name="Setembro" totalsRowFunction="sum" dataDxfId="165"/>
    <tableColumn id="12" xr3:uid="{00000000-0010-0000-1C00-00000C000000}" name="Outubro" totalsRowFunction="sum" dataDxfId="164"/>
    <tableColumn id="13" xr3:uid="{00000000-0010-0000-1C00-00000D000000}" name="Novembro" totalsRowFunction="sum" dataDxfId="163"/>
    <tableColumn id="14" xr3:uid="{00000000-0010-0000-1C00-00000E000000}" name="Dezembro" totalsRowFunction="sum" dataDxfId="162"/>
    <tableColumn id="15" xr3:uid="{00000000-0010-0000-1C00-00000F000000}" name="Total" totalsRowFunction="sum" dataDxfId="161"/>
  </tableColumns>
  <tableStyleInfo name="TableStyleMedium16" showFirstColumn="0" showLastColumn="1" showRowStripes="1" showColumnStripes="0"/>
  <extLst>
    <ext xmlns:x14="http://schemas.microsoft.com/office/spreadsheetml/2009/9/main" uri="{504A1905-F514-4f6f-8877-14C23A59335A}">
      <x14:table altTextSummary="Insira os detalhes de pagamento de cartão de crédito, como data, descrição, quantidade, nome do fornecedor e taxas de transação nesta tabela. O saldo excluindo juros é calculado automaticamente"/>
    </ext>
  </extLst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Dados14333518" displayName="Dados14333518" ref="B47:P66" totalsRowCount="1">
  <autoFilter ref="B47:P65" xr:uid="{00000000-0009-0000-0100-00001E000000}"/>
  <tableColumns count="15">
    <tableColumn id="1" xr3:uid="{00000000-0010-0000-1D00-000001000000}" name="Funcionários" totalsRowLabel="Total" dataDxfId="160"/>
    <tableColumn id="2" xr3:uid="{00000000-0010-0000-1D00-000002000000}" name="Data Admissão" dataDxfId="159"/>
    <tableColumn id="3" xr3:uid="{00000000-0010-0000-1D00-000003000000}" name="Janeiro" totalsRowFunction="sum" dataDxfId="158"/>
    <tableColumn id="4" xr3:uid="{00000000-0010-0000-1D00-000004000000}" name="Fevereiro" totalsRowFunction="sum" dataDxfId="157"/>
    <tableColumn id="5" xr3:uid="{00000000-0010-0000-1D00-000005000000}" name="Março" totalsRowFunction="sum" dataDxfId="156"/>
    <tableColumn id="6" xr3:uid="{00000000-0010-0000-1D00-000006000000}" name="Abril" totalsRowFunction="sum" dataDxfId="155"/>
    <tableColumn id="7" xr3:uid="{00000000-0010-0000-1D00-000007000000}" name="Maio" totalsRowFunction="sum" dataDxfId="154"/>
    <tableColumn id="8" xr3:uid="{00000000-0010-0000-1D00-000008000000}" name="Junho" totalsRowFunction="sum" dataDxfId="153"/>
    <tableColumn id="9" xr3:uid="{00000000-0010-0000-1D00-000009000000}" name="Julho" totalsRowFunction="sum" dataDxfId="152"/>
    <tableColumn id="10" xr3:uid="{00000000-0010-0000-1D00-00000A000000}" name="Agosto" totalsRowFunction="sum" dataDxfId="151"/>
    <tableColumn id="11" xr3:uid="{00000000-0010-0000-1D00-00000B000000}" name="Setembro" totalsRowFunction="sum" dataDxfId="150"/>
    <tableColumn id="12" xr3:uid="{00000000-0010-0000-1D00-00000C000000}" name="Outubro" totalsRowFunction="sum" dataDxfId="149"/>
    <tableColumn id="13" xr3:uid="{00000000-0010-0000-1D00-00000D000000}" name="Novembro" totalsRowFunction="sum" dataDxfId="148"/>
    <tableColumn id="14" xr3:uid="{00000000-0010-0000-1D00-00000E000000}" name="Dezembro" totalsRowFunction="sum" dataDxfId="147"/>
    <tableColumn id="15" xr3:uid="{00000000-0010-0000-1D00-00000F000000}" name="Total" totalsRowFunction="sum" dataDxfId="146"/>
  </tableColumns>
  <tableStyleInfo name="TableStyleMedium16" showFirstColumn="0" showLastColumn="1" showRowStripes="1" showColumnStripes="0"/>
  <extLst>
    <ext xmlns:x14="http://schemas.microsoft.com/office/spreadsheetml/2009/9/main" uri="{504A1905-F514-4f6f-8877-14C23A59335A}">
      <x14:table altTextSummary="Insira os detalhes de pagamento de cartão de crédito, como data, descrição, quantidade, nome do fornecedor e taxas de transação nesta tabela. O saldo excluindo juros é calculado automaticamente"/>
    </ext>
  </extLst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Dados14333619" displayName="Dados14333619" ref="B69:P88" totalsRowCount="1">
  <autoFilter ref="B69:P87" xr:uid="{00000000-0009-0000-0100-00001F000000}"/>
  <tableColumns count="15">
    <tableColumn id="1" xr3:uid="{00000000-0010-0000-1E00-000001000000}" name="Funcionários" totalsRowLabel="Total" dataDxfId="145"/>
    <tableColumn id="2" xr3:uid="{00000000-0010-0000-1E00-000002000000}" name="Data Admissão" dataDxfId="144"/>
    <tableColumn id="3" xr3:uid="{00000000-0010-0000-1E00-000003000000}" name="Janeiro" totalsRowFunction="sum" dataDxfId="143"/>
    <tableColumn id="4" xr3:uid="{00000000-0010-0000-1E00-000004000000}" name="Fevereiro" totalsRowFunction="sum" dataDxfId="142"/>
    <tableColumn id="5" xr3:uid="{00000000-0010-0000-1E00-000005000000}" name="Março" totalsRowFunction="sum" dataDxfId="141"/>
    <tableColumn id="6" xr3:uid="{00000000-0010-0000-1E00-000006000000}" name="Abril" totalsRowFunction="sum" dataDxfId="140"/>
    <tableColumn id="7" xr3:uid="{00000000-0010-0000-1E00-000007000000}" name="Maio" totalsRowFunction="sum" dataDxfId="139"/>
    <tableColumn id="8" xr3:uid="{00000000-0010-0000-1E00-000008000000}" name="Junho" totalsRowFunction="sum" dataDxfId="138"/>
    <tableColumn id="9" xr3:uid="{00000000-0010-0000-1E00-000009000000}" name="Julho" totalsRowFunction="sum" dataDxfId="137"/>
    <tableColumn id="10" xr3:uid="{00000000-0010-0000-1E00-00000A000000}" name="Agosto" totalsRowFunction="sum" dataDxfId="136"/>
    <tableColumn id="11" xr3:uid="{00000000-0010-0000-1E00-00000B000000}" name="Setembro" totalsRowFunction="sum" dataDxfId="135"/>
    <tableColumn id="12" xr3:uid="{00000000-0010-0000-1E00-00000C000000}" name="Outubro" totalsRowFunction="sum" dataDxfId="134"/>
    <tableColumn id="13" xr3:uid="{00000000-0010-0000-1E00-00000D000000}" name="Novembro" totalsRowFunction="sum" dataDxfId="133"/>
    <tableColumn id="14" xr3:uid="{00000000-0010-0000-1E00-00000E000000}" name="Dezembro" totalsRowFunction="sum" dataDxfId="132"/>
    <tableColumn id="15" xr3:uid="{00000000-0010-0000-1E00-00000F000000}" name="Total" dataDxfId="131"/>
  </tableColumns>
  <tableStyleInfo name="TableStyleMedium16" showFirstColumn="0" showLastColumn="1" showRowStripes="1" showColumnStripes="0"/>
  <extLst>
    <ext xmlns:x14="http://schemas.microsoft.com/office/spreadsheetml/2009/9/main" uri="{504A1905-F514-4f6f-8877-14C23A59335A}">
      <x14:table altTextSummary="Insira os detalhes de pagamento de cartão de crédito, como data, descrição, quantidade, nome do fornecedor e taxas de transação nesta tabela. O saldo excluindo juros é calculado automaticamente"/>
    </ext>
  </extLst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Dados1433341745" displayName="Dados1433341745" ref="B113:P132" totalsRowCount="1">
  <autoFilter ref="B113:P131" xr:uid="{00000000-0009-0000-0100-000020000000}"/>
  <tableColumns count="15">
    <tableColumn id="1" xr3:uid="{00000000-0010-0000-1F00-000001000000}" name="Funcionários" totalsRowLabel="Total" dataDxfId="130"/>
    <tableColumn id="2" xr3:uid="{00000000-0010-0000-1F00-000002000000}" name="Data Admissão" dataDxfId="129"/>
    <tableColumn id="3" xr3:uid="{00000000-0010-0000-1F00-000003000000}" name="Janeiro" totalsRowFunction="custom" dataDxfId="128">
      <totalsRowFormula>SUBTOTAL(109,Dados1433341745[Fevereiro])</totalsRowFormula>
    </tableColumn>
    <tableColumn id="4" xr3:uid="{00000000-0010-0000-1F00-000004000000}" name="Fevereiro" totalsRowFunction="sum" dataDxfId="127"/>
    <tableColumn id="5" xr3:uid="{00000000-0010-0000-1F00-000005000000}" name="Março" totalsRowFunction="sum" dataDxfId="126"/>
    <tableColumn id="6" xr3:uid="{00000000-0010-0000-1F00-000006000000}" name="Abril" totalsRowFunction="sum" dataDxfId="125"/>
    <tableColumn id="7" xr3:uid="{00000000-0010-0000-1F00-000007000000}" name="Maio" totalsRowFunction="sum" dataDxfId="124"/>
    <tableColumn id="8" xr3:uid="{00000000-0010-0000-1F00-000008000000}" name="Junho" totalsRowFunction="sum" dataDxfId="123"/>
    <tableColumn id="9" xr3:uid="{00000000-0010-0000-1F00-000009000000}" name="Julho" totalsRowFunction="sum" dataDxfId="122"/>
    <tableColumn id="10" xr3:uid="{00000000-0010-0000-1F00-00000A000000}" name="Agosto" totalsRowFunction="sum" dataDxfId="121"/>
    <tableColumn id="11" xr3:uid="{00000000-0010-0000-1F00-00000B000000}" name="Setembro" totalsRowFunction="sum" dataDxfId="120"/>
    <tableColumn id="12" xr3:uid="{00000000-0010-0000-1F00-00000C000000}" name="Outubro" totalsRowFunction="sum" dataDxfId="119"/>
    <tableColumn id="13" xr3:uid="{00000000-0010-0000-1F00-00000D000000}" name="Novembro" totalsRowFunction="sum" dataDxfId="118"/>
    <tableColumn id="14" xr3:uid="{00000000-0010-0000-1F00-00000E000000}" name="Dezembro" totalsRowFunction="sum" dataDxfId="117"/>
    <tableColumn id="15" xr3:uid="{00000000-0010-0000-1F00-00000F000000}" name="Total" totalsRowFunction="sum" dataDxfId="116"/>
  </tableColumns>
  <tableStyleInfo name="TableStyleMedium16" showFirstColumn="0" showLastColumn="1" showRowStripes="1" showColumnStripes="0"/>
  <extLst>
    <ext xmlns:x14="http://schemas.microsoft.com/office/spreadsheetml/2009/9/main" uri="{504A1905-F514-4f6f-8877-14C23A59335A}">
      <x14:table altTextSummary="Insira os detalhes de pagamento de cartão de crédito, como data, descrição, quantidade, nome do fornecedor e taxas de transação nesta tabela. O saldo excluindo juros é calculado automaticamente"/>
    </ext>
  </extLst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Dados141520" displayName="Dados141520" ref="B3:P16" totalsRowCount="1">
  <autoFilter ref="B3:P15" xr:uid="{00000000-0009-0000-0100-000021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tableColumns count="15">
    <tableColumn id="1" xr3:uid="{00000000-0010-0000-2000-000001000000}" name="Funcionários" totalsRowLabel="Total" dataDxfId="115"/>
    <tableColumn id="2" xr3:uid="{00000000-0010-0000-2000-000002000000}" name="Data Admissão" dataDxfId="114"/>
    <tableColumn id="3" xr3:uid="{00000000-0010-0000-2000-000003000000}" name="Janeiro" totalsRowFunction="sum" dataDxfId="113"/>
    <tableColumn id="4" xr3:uid="{00000000-0010-0000-2000-000004000000}" name="Fevereiro" totalsRowFunction="sum" dataDxfId="112"/>
    <tableColumn id="5" xr3:uid="{00000000-0010-0000-2000-000005000000}" name="Março" totalsRowFunction="sum" dataDxfId="111"/>
    <tableColumn id="6" xr3:uid="{00000000-0010-0000-2000-000006000000}" name="Abril" dataDxfId="110"/>
    <tableColumn id="7" xr3:uid="{00000000-0010-0000-2000-000007000000}" name="Maio" dataDxfId="109"/>
    <tableColumn id="8" xr3:uid="{00000000-0010-0000-2000-000008000000}" name="Junho" dataDxfId="108"/>
    <tableColumn id="9" xr3:uid="{00000000-0010-0000-2000-000009000000}" name="Julho" dataDxfId="107"/>
    <tableColumn id="10" xr3:uid="{00000000-0010-0000-2000-00000A000000}" name="Agosto" dataDxfId="106"/>
    <tableColumn id="11" xr3:uid="{00000000-0010-0000-2000-00000B000000}" name="Setembro" dataDxfId="105"/>
    <tableColumn id="12" xr3:uid="{00000000-0010-0000-2000-00000C000000}" name="Outubro" dataDxfId="104"/>
    <tableColumn id="13" xr3:uid="{00000000-0010-0000-2000-00000D000000}" name="Novembro" dataDxfId="103"/>
    <tableColumn id="14" xr3:uid="{00000000-0010-0000-2000-00000E000000}" name="Dezembro" dataDxfId="102"/>
    <tableColumn id="15" xr3:uid="{00000000-0010-0000-2000-00000F000000}" name="Total" dataDxfId="101"/>
  </tableColumns>
  <tableStyleInfo name="TableStyleMedium16" showFirstColumn="0" showLastColumn="1" showRowStripes="1" showColumnStripes="0"/>
  <extLst>
    <ext xmlns:x14="http://schemas.microsoft.com/office/spreadsheetml/2009/9/main" uri="{504A1905-F514-4f6f-8877-14C23A59335A}">
      <x14:table altTextSummary="Insira os detalhes de pagamento de cartão de crédito, como data, descrição, quantidade, nome do fornecedor e taxas de transação nesta tabela. O saldo excluindo juros é calculado automaticamente"/>
    </ext>
  </extLst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Dados14331621" displayName="Dados14331621" ref="B19:P32" totalsRowCount="1">
  <autoFilter ref="B19:P31" xr:uid="{00000000-0009-0000-0100-000022000000}"/>
  <tableColumns count="15">
    <tableColumn id="1" xr3:uid="{00000000-0010-0000-2100-000001000000}" name="Funcionários" totalsRowLabel="Total" dataDxfId="100"/>
    <tableColumn id="2" xr3:uid="{00000000-0010-0000-2100-000002000000}" name="Data Admissão" dataDxfId="99"/>
    <tableColumn id="3" xr3:uid="{00000000-0010-0000-2100-000003000000}" name="Janeiro" totalsRowFunction="sum" dataDxfId="98"/>
    <tableColumn id="4" xr3:uid="{00000000-0010-0000-2100-000004000000}" name="Fevereiro" totalsRowFunction="sum" dataDxfId="97"/>
    <tableColumn id="5" xr3:uid="{00000000-0010-0000-2100-000005000000}" name="Março" totalsRowFunction="sum" dataDxfId="96"/>
    <tableColumn id="6" xr3:uid="{00000000-0010-0000-2100-000006000000}" name="Abril" dataDxfId="95"/>
    <tableColumn id="7" xr3:uid="{00000000-0010-0000-2100-000007000000}" name="Maio" dataDxfId="94"/>
    <tableColumn id="8" xr3:uid="{00000000-0010-0000-2100-000008000000}" name="Junho" dataDxfId="93"/>
    <tableColumn id="9" xr3:uid="{00000000-0010-0000-2100-000009000000}" name="Julho" dataDxfId="92"/>
    <tableColumn id="10" xr3:uid="{00000000-0010-0000-2100-00000A000000}" name="Agosto" dataDxfId="91"/>
    <tableColumn id="11" xr3:uid="{00000000-0010-0000-2100-00000B000000}" name="Setembro" dataDxfId="90"/>
    <tableColumn id="12" xr3:uid="{00000000-0010-0000-2100-00000C000000}" name="Outubro" dataDxfId="89"/>
    <tableColumn id="13" xr3:uid="{00000000-0010-0000-2100-00000D000000}" name="Novembro" dataDxfId="88"/>
    <tableColumn id="14" xr3:uid="{00000000-0010-0000-2100-00000E000000}" name="Dezembro" dataDxfId="87"/>
    <tableColumn id="15" xr3:uid="{00000000-0010-0000-2100-00000F000000}" name="Total" dataDxfId="86"/>
  </tableColumns>
  <tableStyleInfo name="TableStyleMedium16" showFirstColumn="0" showLastColumn="1" showRowStripes="1" showColumnStripes="0"/>
  <extLst>
    <ext xmlns:x14="http://schemas.microsoft.com/office/spreadsheetml/2009/9/main" uri="{504A1905-F514-4f6f-8877-14C23A59335A}">
      <x14:table altTextSummary="Insira os detalhes de pagamento de cartão de crédito, como data, descrição, quantidade, nome do fornecedor e taxas de transação nesta tabela. O saldo excluindo juros é calculado automaticamente"/>
    </ext>
  </extLst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Dados1433341722" displayName="Dados1433341722" ref="B67:P80" totalsRowCount="1">
  <autoFilter ref="B67:P79" xr:uid="{00000000-0009-0000-0100-000023000000}"/>
  <tableColumns count="15">
    <tableColumn id="1" xr3:uid="{00000000-0010-0000-2200-000001000000}" name="Funcionários" totalsRowLabel="Total" dataDxfId="85"/>
    <tableColumn id="2" xr3:uid="{00000000-0010-0000-2200-000002000000}" name="Data Admissão" dataDxfId="84"/>
    <tableColumn id="3" xr3:uid="{00000000-0010-0000-2200-000003000000}" name="Janeiro" totalsRowFunction="sum" dataDxfId="83"/>
    <tableColumn id="4" xr3:uid="{00000000-0010-0000-2200-000004000000}" name="Fevereiro" totalsRowFunction="sum" dataDxfId="82"/>
    <tableColumn id="5" xr3:uid="{00000000-0010-0000-2200-000005000000}" name="Março" totalsRowFunction="sum" dataDxfId="81"/>
    <tableColumn id="6" xr3:uid="{00000000-0010-0000-2200-000006000000}" name="Abril" dataDxfId="80"/>
    <tableColumn id="7" xr3:uid="{00000000-0010-0000-2200-000007000000}" name="Maio" dataDxfId="79"/>
    <tableColumn id="8" xr3:uid="{00000000-0010-0000-2200-000008000000}" name="Junho" dataDxfId="78"/>
    <tableColumn id="9" xr3:uid="{00000000-0010-0000-2200-000009000000}" name="Julho" dataDxfId="77"/>
    <tableColumn id="10" xr3:uid="{00000000-0010-0000-2200-00000A000000}" name="Agosto" dataDxfId="76"/>
    <tableColumn id="11" xr3:uid="{00000000-0010-0000-2200-00000B000000}" name="Setembro" dataDxfId="75"/>
    <tableColumn id="12" xr3:uid="{00000000-0010-0000-2200-00000C000000}" name="Outubro" dataDxfId="74"/>
    <tableColumn id="13" xr3:uid="{00000000-0010-0000-2200-00000D000000}" name="Novembro" dataDxfId="73"/>
    <tableColumn id="14" xr3:uid="{00000000-0010-0000-2200-00000E000000}" name="Dezembro" dataDxfId="72"/>
    <tableColumn id="15" xr3:uid="{00000000-0010-0000-2200-00000F000000}" name="Total" dataDxfId="71"/>
  </tableColumns>
  <tableStyleInfo name="TableStyleMedium16" showFirstColumn="0" showLastColumn="1" showRowStripes="1" showColumnStripes="0"/>
  <extLst>
    <ext xmlns:x14="http://schemas.microsoft.com/office/spreadsheetml/2009/9/main" uri="{504A1905-F514-4f6f-8877-14C23A59335A}">
      <x14:table altTextSummary="Insira os detalhes de pagamento de cartão de crédito, como data, descrição, quantidade, nome do fornecedor e taxas de transação nesta tabela. O saldo excluindo juros é calculado automaticamente"/>
    </ext>
  </extLst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Dados1433351823" displayName="Dados1433351823" ref="B35:P48" totalsRowCount="1">
  <autoFilter ref="B35:P47" xr:uid="{00000000-0009-0000-0100-000024000000}"/>
  <tableColumns count="15">
    <tableColumn id="1" xr3:uid="{00000000-0010-0000-2300-000001000000}" name="Funcionários" totalsRowLabel="Total" dataDxfId="70"/>
    <tableColumn id="2" xr3:uid="{00000000-0010-0000-2300-000002000000}" name="Data Admissão" dataDxfId="69"/>
    <tableColumn id="3" xr3:uid="{00000000-0010-0000-2300-000003000000}" name="Janeiro" totalsRowFunction="sum" dataDxfId="68"/>
    <tableColumn id="4" xr3:uid="{00000000-0010-0000-2300-000004000000}" name="Fevereiro" totalsRowFunction="sum" dataDxfId="67"/>
    <tableColumn id="5" xr3:uid="{00000000-0010-0000-2300-000005000000}" name="Março" totalsRowFunction="sum" dataDxfId="66"/>
    <tableColumn id="6" xr3:uid="{00000000-0010-0000-2300-000006000000}" name="Abril" dataDxfId="65"/>
    <tableColumn id="7" xr3:uid="{00000000-0010-0000-2300-000007000000}" name="Maio" dataDxfId="64"/>
    <tableColumn id="8" xr3:uid="{00000000-0010-0000-2300-000008000000}" name="Junho" dataDxfId="63"/>
    <tableColumn id="9" xr3:uid="{00000000-0010-0000-2300-000009000000}" name="Julho" dataDxfId="62"/>
    <tableColumn id="10" xr3:uid="{00000000-0010-0000-2300-00000A000000}" name="Agosto" dataDxfId="61"/>
    <tableColumn id="11" xr3:uid="{00000000-0010-0000-2300-00000B000000}" name="Setembro" dataDxfId="60"/>
    <tableColumn id="12" xr3:uid="{00000000-0010-0000-2300-00000C000000}" name="Outubro" dataDxfId="59"/>
    <tableColumn id="13" xr3:uid="{00000000-0010-0000-2300-00000D000000}" name="Novembro" dataDxfId="58"/>
    <tableColumn id="14" xr3:uid="{00000000-0010-0000-2300-00000E000000}" name="Dezembro" dataDxfId="57"/>
    <tableColumn id="15" xr3:uid="{00000000-0010-0000-2300-00000F000000}" name="Total" dataDxfId="56"/>
  </tableColumns>
  <tableStyleInfo name="TableStyleMedium16" showFirstColumn="0" showLastColumn="1" showRowStripes="1" showColumnStripes="0"/>
  <extLst>
    <ext xmlns:x14="http://schemas.microsoft.com/office/spreadsheetml/2009/9/main" uri="{504A1905-F514-4f6f-8877-14C23A59335A}">
      <x14:table altTextSummary="Insira os detalhes de pagamento de cartão de crédito, como data, descrição, quantidade, nome do fornecedor e taxas de transação nesta tabela. O saldo excluindo juros é calculado automaticamente"/>
    </ext>
  </extLst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Dados1433361932" displayName="Dados1433361932" ref="B51:P64" totalsRowCount="1">
  <autoFilter ref="B51:P63" xr:uid="{00000000-0009-0000-0100-000025000000}"/>
  <tableColumns count="15">
    <tableColumn id="1" xr3:uid="{00000000-0010-0000-2400-000001000000}" name="Funcionários" totalsRowLabel="Total" dataDxfId="55"/>
    <tableColumn id="2" xr3:uid="{00000000-0010-0000-2400-000002000000}" name="Data Admissão" dataDxfId="54"/>
    <tableColumn id="3" xr3:uid="{00000000-0010-0000-2400-000003000000}" name="Janeiro" totalsRowFunction="sum" dataDxfId="53"/>
    <tableColumn id="4" xr3:uid="{00000000-0010-0000-2400-000004000000}" name="Fevereiro" totalsRowFunction="sum" dataDxfId="52"/>
    <tableColumn id="5" xr3:uid="{00000000-0010-0000-2400-000005000000}" name="Março" totalsRowFunction="sum" dataDxfId="51"/>
    <tableColumn id="6" xr3:uid="{00000000-0010-0000-2400-000006000000}" name="Abril" dataDxfId="50"/>
    <tableColumn id="7" xr3:uid="{00000000-0010-0000-2400-000007000000}" name="Maio" dataDxfId="49"/>
    <tableColumn id="8" xr3:uid="{00000000-0010-0000-2400-000008000000}" name="Junho" dataDxfId="48"/>
    <tableColumn id="9" xr3:uid="{00000000-0010-0000-2400-000009000000}" name="Julho" dataDxfId="47"/>
    <tableColumn id="10" xr3:uid="{00000000-0010-0000-2400-00000A000000}" name="Agosto" dataDxfId="46"/>
    <tableColumn id="11" xr3:uid="{00000000-0010-0000-2400-00000B000000}" name="Setembro" dataDxfId="45"/>
    <tableColumn id="12" xr3:uid="{00000000-0010-0000-2400-00000C000000}" name="Outubro" dataDxfId="44"/>
    <tableColumn id="13" xr3:uid="{00000000-0010-0000-2400-00000D000000}" name="Novembro" dataDxfId="43"/>
    <tableColumn id="14" xr3:uid="{00000000-0010-0000-2400-00000E000000}" name="Dezembro" dataDxfId="42"/>
    <tableColumn id="15" xr3:uid="{00000000-0010-0000-2400-00000F000000}" name="Total" dataDxfId="41"/>
  </tableColumns>
  <tableStyleInfo name="TableStyleMedium16" showFirstColumn="0" showLastColumn="1" showRowStripes="1" showColumnStripes="0"/>
  <extLst>
    <ext xmlns:x14="http://schemas.microsoft.com/office/spreadsheetml/2009/9/main" uri="{504A1905-F514-4f6f-8877-14C23A59335A}">
      <x14:table altTextSummary="Insira os detalhes de pagamento de cartão de crédito, como data, descrição, quantidade, nome do fornecedor e taxas de transação nesta tabela. O saldo excluindo juros é calculado automaticamente"/>
    </ext>
  </extLst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Dados143334172246" displayName="Dados143334172246" ref="B83:P96" totalsRowCount="1">
  <autoFilter ref="B83:P95" xr:uid="{00000000-0009-0000-0100-000026000000}"/>
  <tableColumns count="15">
    <tableColumn id="1" xr3:uid="{00000000-0010-0000-2500-000001000000}" name="Funcionários" totalsRowLabel="Total" dataDxfId="40"/>
    <tableColumn id="2" xr3:uid="{00000000-0010-0000-2500-000002000000}" name="Data Admissão" dataDxfId="39"/>
    <tableColumn id="3" xr3:uid="{00000000-0010-0000-2500-000003000000}" name="Janeiro" totalsRowFunction="sum" dataDxfId="38"/>
    <tableColumn id="4" xr3:uid="{00000000-0010-0000-2500-000004000000}" name="Fevereiro" totalsRowFunction="sum" dataDxfId="37"/>
    <tableColumn id="5" xr3:uid="{00000000-0010-0000-2500-000005000000}" name="Março" totalsRowFunction="sum" dataDxfId="36"/>
    <tableColumn id="6" xr3:uid="{00000000-0010-0000-2500-000006000000}" name="Abril" dataDxfId="35"/>
    <tableColumn id="7" xr3:uid="{00000000-0010-0000-2500-000007000000}" name="Maio" dataDxfId="34"/>
    <tableColumn id="8" xr3:uid="{00000000-0010-0000-2500-000008000000}" name="Junho" dataDxfId="33"/>
    <tableColumn id="9" xr3:uid="{00000000-0010-0000-2500-000009000000}" name="Julho" dataDxfId="32"/>
    <tableColumn id="10" xr3:uid="{00000000-0010-0000-2500-00000A000000}" name="Agosto" dataDxfId="31"/>
    <tableColumn id="11" xr3:uid="{00000000-0010-0000-2500-00000B000000}" name="Setembro" dataDxfId="30"/>
    <tableColumn id="12" xr3:uid="{00000000-0010-0000-2500-00000C000000}" name="Outubro" dataDxfId="29"/>
    <tableColumn id="13" xr3:uid="{00000000-0010-0000-2500-00000D000000}" name="Novembro" dataDxfId="28"/>
    <tableColumn id="14" xr3:uid="{00000000-0010-0000-2500-00000E000000}" name="Dezembro" dataDxfId="27"/>
    <tableColumn id="15" xr3:uid="{00000000-0010-0000-2500-00000F000000}" name="Total" dataDxfId="26"/>
  </tableColumns>
  <tableStyleInfo name="TableStyleMedium16" showFirstColumn="0" showLastColumn="1" showRowStripes="1" showColumnStripes="0"/>
  <extLst>
    <ext xmlns:x14="http://schemas.microsoft.com/office/spreadsheetml/2009/9/main" uri="{504A1905-F514-4f6f-8877-14C23A59335A}">
      <x14:table altTextSummary="Insira os detalhes de pagamento de cartão de crédito, como data, descrição, quantidade, nome do fornecedor e taxas de transação nesta tabela. O saldo excluindo juros é calculado automaticamente"/>
    </ext>
  </extLst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Dados1437" displayName="Dados1437" ref="B3:F15" totalsRowCount="1">
  <autoFilter ref="B3:F14" xr:uid="{00000000-0009-0000-0100-000027000000}">
    <filterColumn colId="0" showButton="0"/>
    <filterColumn colId="1" showButton="0"/>
    <filterColumn colId="2" showButton="0"/>
    <filterColumn colId="3" showButton="0"/>
    <filterColumn colId="4" showButton="0"/>
  </autoFilter>
  <tableColumns count="5">
    <tableColumn id="1" xr3:uid="{00000000-0010-0000-2600-000001000000}" name="Funcionários" totalsRowLabel="Total" dataDxfId="25"/>
    <tableColumn id="2" xr3:uid="{00000000-0010-0000-2600-000002000000}" name="Data Admissão" dataDxfId="24"/>
    <tableColumn id="3" xr3:uid="{00000000-0010-0000-2600-000003000000}" name="1 PARCELA-NOV" totalsRowFunction="sum" dataDxfId="23"/>
    <tableColumn id="4" xr3:uid="{00000000-0010-0000-2600-000004000000}" name="2 PARCELA-DEZ" totalsRowFunction="sum" dataDxfId="22"/>
    <tableColumn id="5" xr3:uid="{00000000-0010-0000-2600-000005000000}" name="Total" totalsRowFunction="custom" dataDxfId="21">
      <totalsRowFormula>Dados1437[[#Totals],[2 PARCELA-DEZ]]+Dados1437[[#Totals],[1 PARCELA-NOV]]</totalsRowFormula>
    </tableColumn>
  </tableColumns>
  <tableStyleInfo name="TableStyleMedium16" showFirstColumn="0" showLastColumn="1" showRowStripes="1" showColumnStripes="0"/>
  <extLst>
    <ext xmlns:x14="http://schemas.microsoft.com/office/spreadsheetml/2009/9/main" uri="{504A1905-F514-4f6f-8877-14C23A59335A}">
      <x14:table altTextSummary="Insira os detalhes de pagamento de cartão de crédito, como data, descrição, quantidade, nome do fornecedor e taxas de transação nesta tabela. O saldo excluindo juros é calculado automaticamente"/>
    </ext>
  </extLst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Dados143742" displayName="Dados143742" ref="B3:F15" totalsRowCount="1">
  <autoFilter ref="B3:F14" xr:uid="{00000000-0009-0000-0100-000028000000}">
    <filterColumn colId="0" showButton="0"/>
    <filterColumn colId="1" showButton="0"/>
    <filterColumn colId="2" showButton="0"/>
    <filterColumn colId="3" showButton="0"/>
    <filterColumn colId="4" showButton="0"/>
  </autoFilter>
  <tableColumns count="5">
    <tableColumn id="1" xr3:uid="{00000000-0010-0000-2700-000001000000}" name="Funcionários" totalsRowLabel="Total" dataDxfId="20"/>
    <tableColumn id="2" xr3:uid="{00000000-0010-0000-2700-000002000000}" name="Data Admissão" dataDxfId="19"/>
    <tableColumn id="3" xr3:uid="{00000000-0010-0000-2700-000003000000}" name="1 PARCELA-NOV" totalsRowFunction="sum" dataDxfId="18"/>
    <tableColumn id="4" xr3:uid="{00000000-0010-0000-2700-000004000000}" name="2 PARCELA-DEZ" totalsRowFunction="sum" dataDxfId="17"/>
    <tableColumn id="5" xr3:uid="{00000000-0010-0000-2700-000005000000}" name="Total" totalsRowFunction="custom" dataDxfId="16">
      <totalsRowFormula>Dados143742[[#Totals],[2 PARCELA-DEZ]]+Dados143742[[#Totals],[1 PARCELA-NOV]]</totalsRowFormula>
    </tableColumn>
  </tableColumns>
  <tableStyleInfo name="TableStyleMedium16" showFirstColumn="0" showLastColumn="1" showRowStripes="1" showColumnStripes="0"/>
  <extLst>
    <ext xmlns:x14="http://schemas.microsoft.com/office/spreadsheetml/2009/9/main" uri="{504A1905-F514-4f6f-8877-14C23A59335A}">
      <x14:table altTextSummary="Insira os detalhes de pagamento de cartão de crédito, como data, descrição, quantidade, nome do fornecedor e taxas de transação nesta tabela. O saldo excluindo juros é calculado automaticamente"/>
    </ext>
  </extLst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Dados14152047" displayName="Dados14152047" ref="B3:Q14" totalsRowCount="1">
  <autoFilter ref="B3:Q13" xr:uid="{00000000-0009-0000-0100-000029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</autoFilter>
  <tableColumns count="16">
    <tableColumn id="1" xr3:uid="{00000000-0010-0000-2800-000001000000}" name="Funcionários" totalsRowLabel="Total" dataDxfId="15"/>
    <tableColumn id="2" xr3:uid="{00000000-0010-0000-2800-000002000000}" name="Data Admissão" dataDxfId="14"/>
    <tableColumn id="3" xr3:uid="{00000000-0010-0000-2800-000003000000}" name="Data Demissão" dataDxfId="13"/>
    <tableColumn id="4" xr3:uid="{00000000-0010-0000-2800-000004000000}" name="Janeiro" totalsRowFunction="sum" dataDxfId="12"/>
    <tableColumn id="5" xr3:uid="{00000000-0010-0000-2800-000005000000}" name="Fevereiro" totalsRowFunction="sum" dataDxfId="11"/>
    <tableColumn id="6" xr3:uid="{00000000-0010-0000-2800-000006000000}" name="Março" totalsRowFunction="sum" dataDxfId="10"/>
    <tableColumn id="7" xr3:uid="{00000000-0010-0000-2800-000007000000}" name="Abril" totalsRowFunction="sum" dataDxfId="9"/>
    <tableColumn id="8" xr3:uid="{00000000-0010-0000-2800-000008000000}" name="Maio" totalsRowFunction="sum" dataDxfId="8"/>
    <tableColumn id="9" xr3:uid="{00000000-0010-0000-2800-000009000000}" name="Junho" totalsRowFunction="sum" dataDxfId="7"/>
    <tableColumn id="10" xr3:uid="{00000000-0010-0000-2800-00000A000000}" name="Julho" totalsRowFunction="sum" dataDxfId="6"/>
    <tableColumn id="11" xr3:uid="{00000000-0010-0000-2800-00000B000000}" name="Agosto" totalsRowFunction="sum" dataDxfId="5"/>
    <tableColumn id="12" xr3:uid="{00000000-0010-0000-2800-00000C000000}" name="Setembro" totalsRowFunction="sum" dataDxfId="4"/>
    <tableColumn id="13" xr3:uid="{00000000-0010-0000-2800-00000D000000}" name="Outubro" totalsRowFunction="sum" dataDxfId="3"/>
    <tableColumn id="14" xr3:uid="{00000000-0010-0000-2800-00000E000000}" name="Novembro" totalsRowFunction="sum" dataDxfId="2"/>
    <tableColumn id="15" xr3:uid="{00000000-0010-0000-2800-00000F000000}" name="Dezembro" totalsRowFunction="sum" dataDxfId="1"/>
    <tableColumn id="16" xr3:uid="{00000000-0010-0000-2800-000010000000}" name="Total" dataDxfId="0"/>
  </tableColumns>
  <tableStyleInfo name="TableStyleMedium16" showFirstColumn="0" showLastColumn="1" showRowStripes="1" showColumnStripes="0"/>
  <extLst>
    <ext xmlns:x14="http://schemas.microsoft.com/office/spreadsheetml/2009/9/main" uri="{504A1905-F514-4f6f-8877-14C23A59335A}">
      <x14:table altTextSummary="Insira os detalhes de pagamento de cartão de crédito, como data, descrição, quantidade, nome do fornecedor e taxas de transação nesta tabela. O saldo excluindo juros é calculado automaticamente"/>
    </ext>
  </extLst>
</table>
</file>

<file path=xl/theme/theme1.xml><?xml version="1.0" encoding="utf-8"?>
<a:theme xmlns:a="http://schemas.openxmlformats.org/drawingml/2006/main" name="Office Theme">
  <a:themeElements>
    <a:clrScheme name="Credit card use log">
      <a:dk1>
        <a:srgbClr val="000000"/>
      </a:dk1>
      <a:lt1>
        <a:srgbClr val="FFFFFF"/>
      </a:lt1>
      <a:dk2>
        <a:srgbClr val="163748"/>
      </a:dk2>
      <a:lt2>
        <a:srgbClr val="40B4AB"/>
      </a:lt2>
      <a:accent1>
        <a:srgbClr val="1A805B"/>
      </a:accent1>
      <a:accent2>
        <a:srgbClr val="99BC44"/>
      </a:accent2>
      <a:accent3>
        <a:srgbClr val="FEC93B"/>
      </a:accent3>
      <a:accent4>
        <a:srgbClr val="EA6848"/>
      </a:accent4>
      <a:accent5>
        <a:srgbClr val="E53E3C"/>
      </a:accent5>
      <a:accent6>
        <a:srgbClr val="6A1F28"/>
      </a:accent6>
      <a:hlink>
        <a:srgbClr val="E53E3C"/>
      </a:hlink>
      <a:folHlink>
        <a:srgbClr val="6A1F28"/>
      </a:folHlink>
    </a:clrScheme>
    <a:fontScheme name="Credit card use log">
      <a:majorFont>
        <a:latin typeface="Century Gothic"/>
        <a:ea typeface="Arial"/>
        <a:cs typeface="Arial"/>
      </a:majorFont>
      <a:minorFont>
        <a:latin typeface="Euphemia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9.xml"/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table" Target="../tables/table12.xml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Relationship Id="rId9" Type="http://schemas.openxmlformats.org/officeDocument/2006/relationships/table" Target="../tables/table20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7" Type="http://schemas.openxmlformats.org/officeDocument/2006/relationships/table" Target="../tables/table26.xml"/><Relationship Id="rId2" Type="http://schemas.openxmlformats.org/officeDocument/2006/relationships/table" Target="../tables/table21.xml"/><Relationship Id="rId1" Type="http://schemas.openxmlformats.org/officeDocument/2006/relationships/drawing" Target="../drawings/drawing1.xml"/><Relationship Id="rId6" Type="http://schemas.openxmlformats.org/officeDocument/2006/relationships/table" Target="../tables/table25.xml"/><Relationship Id="rId5" Type="http://schemas.openxmlformats.org/officeDocument/2006/relationships/table" Target="../tables/table24.xml"/><Relationship Id="rId4" Type="http://schemas.openxmlformats.org/officeDocument/2006/relationships/table" Target="../tables/table2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table" Target="../tables/table28.xml"/><Relationship Id="rId1" Type="http://schemas.openxmlformats.org/officeDocument/2006/relationships/table" Target="../tables/table27.xml"/><Relationship Id="rId6" Type="http://schemas.openxmlformats.org/officeDocument/2006/relationships/table" Target="../tables/table32.xml"/><Relationship Id="rId5" Type="http://schemas.openxmlformats.org/officeDocument/2006/relationships/table" Target="../tables/table31.xml"/><Relationship Id="rId4" Type="http://schemas.openxmlformats.org/officeDocument/2006/relationships/table" Target="../tables/table30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2" Type="http://schemas.openxmlformats.org/officeDocument/2006/relationships/table" Target="../tables/table34.xml"/><Relationship Id="rId1" Type="http://schemas.openxmlformats.org/officeDocument/2006/relationships/table" Target="../tables/table33.xml"/><Relationship Id="rId6" Type="http://schemas.openxmlformats.org/officeDocument/2006/relationships/table" Target="../tables/table38.xml"/><Relationship Id="rId5" Type="http://schemas.openxmlformats.org/officeDocument/2006/relationships/table" Target="../tables/table37.xml"/><Relationship Id="rId4" Type="http://schemas.openxmlformats.org/officeDocument/2006/relationships/table" Target="../tables/table3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9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/>
    <pageSetUpPr fitToPage="1"/>
  </sheetPr>
  <dimension ref="B1:P144"/>
  <sheetViews>
    <sheetView showGridLines="0" topLeftCell="A28" zoomScale="90" workbookViewId="0">
      <selection activeCell="B15" sqref="B15"/>
    </sheetView>
  </sheetViews>
  <sheetFormatPr defaultColWidth="8.88671875" defaultRowHeight="30" customHeight="1" x14ac:dyDescent="0.4"/>
  <cols>
    <col min="1" max="1" width="2.6640625" customWidth="1"/>
    <col min="2" max="2" width="29.21875" customWidth="1"/>
    <col min="3" max="3" width="22" bestFit="1" customWidth="1"/>
    <col min="4" max="15" width="11.77734375" customWidth="1"/>
    <col min="16" max="16" width="17.6640625" customWidth="1"/>
    <col min="17" max="17" width="2.6640625" customWidth="1"/>
  </cols>
  <sheetData>
    <row r="1" spans="2:16" ht="60.75" customHeight="1" x14ac:dyDescent="0.4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2:16" ht="45" customHeight="1" x14ac:dyDescent="0.4">
      <c r="B2" s="2" t="s">
        <v>1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54.95" customHeight="1" x14ac:dyDescent="0.4">
      <c r="B3" s="3" t="s">
        <v>2</v>
      </c>
      <c r="C3" s="3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5" t="s">
        <v>16</v>
      </c>
    </row>
    <row r="4" spans="2:16" ht="30" customHeight="1" x14ac:dyDescent="0.4">
      <c r="B4" s="6" t="s">
        <v>17</v>
      </c>
      <c r="C4" s="6">
        <v>44228</v>
      </c>
      <c r="D4" s="7"/>
      <c r="E4" s="8"/>
      <c r="F4" s="7">
        <v>1763.75</v>
      </c>
      <c r="G4" s="8"/>
      <c r="H4" s="8"/>
      <c r="I4" s="8"/>
      <c r="J4" s="8"/>
      <c r="K4" s="8"/>
      <c r="L4" s="8"/>
      <c r="M4" s="8"/>
      <c r="N4" s="8"/>
      <c r="O4" s="8"/>
      <c r="P4" s="9">
        <f>IFERROR(IF(ROW()-ROW(Dados[[#Headers],[Total]])=1,Dados[[#This Row],[Abril]]+Dados[[#This Row],[Fevereiro]],SUM(INDEX(Dados[Fevereiro],1,1):Dados[[#This Row],[Fevereiro]],INDEX(Dados[Abril],1,1):Dados[[#This Row],[Abril]])), "")</f>
        <v>0</v>
      </c>
    </row>
    <row r="5" spans="2:16" ht="30" customHeight="1" x14ac:dyDescent="0.4">
      <c r="B5" s="6" t="s">
        <v>18</v>
      </c>
      <c r="C5" s="6"/>
      <c r="D5" s="7"/>
      <c r="E5" s="8"/>
      <c r="F5" s="7">
        <v>1395</v>
      </c>
      <c r="G5" s="8"/>
      <c r="H5" s="8"/>
      <c r="I5" s="8"/>
      <c r="J5" s="8"/>
      <c r="K5" s="8"/>
      <c r="L5" s="8"/>
      <c r="M5" s="8"/>
      <c r="N5" s="8"/>
      <c r="O5" s="8"/>
      <c r="P5" s="9">
        <f>IFERROR(IF(ROW()-ROW(Dados[[#Headers],[Total]])=1,Dados[[#This Row],[Abril]]+Dados[[#This Row],[Fevereiro]],SUM(INDEX(Dados[Fevereiro],1,1):Dados[[#This Row],[Fevereiro]],INDEX(Dados[Abril],1,1):Dados[[#This Row],[Abril]])),"")</f>
        <v>0</v>
      </c>
    </row>
    <row r="6" spans="2:16" ht="30" customHeight="1" x14ac:dyDescent="0.4">
      <c r="B6" s="6" t="s">
        <v>19</v>
      </c>
      <c r="C6" s="6">
        <v>44228</v>
      </c>
      <c r="D6" s="7"/>
      <c r="E6" s="8"/>
      <c r="F6" s="7">
        <v>1395.65</v>
      </c>
      <c r="G6" s="8"/>
      <c r="H6" s="8"/>
      <c r="I6" s="8"/>
      <c r="J6" s="8"/>
      <c r="K6" s="8"/>
      <c r="L6" s="8"/>
      <c r="M6" s="8"/>
      <c r="N6" s="8"/>
      <c r="O6" s="8"/>
      <c r="P6" s="9">
        <f>IFERROR(IF(ROW()-ROW(Dados[[#Headers],[Total]])=1,Dados[[#This Row],[Abril]]+Dados[[#This Row],[Fevereiro]],SUM(INDEX(Dados[Fevereiro],1,1):Dados[[#This Row],[Fevereiro]],INDEX(Dados[Abril],1,1):Dados[[#This Row],[Abril]])),"")</f>
        <v>0</v>
      </c>
    </row>
    <row r="7" spans="2:16" ht="30" customHeight="1" x14ac:dyDescent="0.4">
      <c r="B7" s="6" t="s">
        <v>20</v>
      </c>
      <c r="C7" s="6">
        <v>43862</v>
      </c>
      <c r="D7" s="7"/>
      <c r="E7" s="8"/>
      <c r="F7" s="7">
        <v>2500</v>
      </c>
      <c r="G7" s="8"/>
      <c r="H7" s="8"/>
      <c r="I7" s="8"/>
      <c r="J7" s="8"/>
      <c r="K7" s="8"/>
      <c r="L7" s="8"/>
      <c r="M7" s="8"/>
      <c r="N7" s="8"/>
      <c r="O7" s="8"/>
      <c r="P7" s="9">
        <f>IFERROR(IF(ROW()-ROW(Dados[[#Headers],[Total]])=1,Dados[[#This Row],[Abril]]+Dados[[#This Row],[Fevereiro]],SUM(INDEX(Dados[Fevereiro],1,1):Dados[[#This Row],[Fevereiro]],INDEX(Dados[Abril],1,1):Dados[[#This Row],[Abril]])),"")</f>
        <v>0</v>
      </c>
    </row>
    <row r="8" spans="2:16" ht="30" customHeight="1" x14ac:dyDescent="0.4">
      <c r="B8" s="6" t="s">
        <v>21</v>
      </c>
      <c r="C8" s="6">
        <v>43710</v>
      </c>
      <c r="D8" s="7"/>
      <c r="E8" s="8"/>
      <c r="F8" s="7">
        <v>2500</v>
      </c>
      <c r="G8" s="8"/>
      <c r="H8" s="8"/>
      <c r="I8" s="8"/>
      <c r="J8" s="8"/>
      <c r="K8" s="8"/>
      <c r="L8" s="8"/>
      <c r="M8" s="8"/>
      <c r="N8" s="8"/>
      <c r="O8" s="8"/>
      <c r="P8" s="9">
        <f>IFERROR(IF(ROW()-ROW(Dados[[#Headers],[Total]])=1,Dados[[#This Row],[Abril]]+Dados[[#This Row],[Fevereiro]],SUM(INDEX(Dados[Fevereiro],1,1):Dados[[#This Row],[Fevereiro]],INDEX(Dados[Abril],1,1):Dados[[#This Row],[Abril]])),"")</f>
        <v>0</v>
      </c>
    </row>
    <row r="9" spans="2:16" ht="30" customHeight="1" x14ac:dyDescent="0.4">
      <c r="B9" s="6" t="s">
        <v>22</v>
      </c>
      <c r="C9" s="6"/>
      <c r="D9" s="7"/>
      <c r="E9" s="8"/>
      <c r="F9" s="7">
        <v>1395.65</v>
      </c>
      <c r="G9" s="8"/>
      <c r="H9" s="8"/>
      <c r="I9" s="8"/>
      <c r="J9" s="8"/>
      <c r="K9" s="8"/>
      <c r="L9" s="8"/>
      <c r="M9" s="8"/>
      <c r="N9" s="8"/>
      <c r="O9" s="8"/>
      <c r="P9" s="9">
        <f>IFERROR(IF(ROW()-ROW(Dados[[#Headers],[Total]])=1,Dados[[#This Row],[Abril]]+Dados[[#This Row],[Fevereiro]],SUM(INDEX(Dados[Fevereiro],1,1):Dados[[#This Row],[Fevereiro]],INDEX(Dados[Abril],1,1):Dados[[#This Row],[Abril]])),"")</f>
        <v>0</v>
      </c>
    </row>
    <row r="10" spans="2:16" ht="30" customHeight="1" x14ac:dyDescent="0.4">
      <c r="B10" s="6" t="s">
        <v>23</v>
      </c>
      <c r="C10" s="6">
        <v>44228</v>
      </c>
      <c r="D10" s="7"/>
      <c r="E10" s="8"/>
      <c r="F10" s="7">
        <v>1770</v>
      </c>
      <c r="G10" s="8"/>
      <c r="H10" s="8"/>
      <c r="I10" s="8"/>
      <c r="J10" s="8"/>
      <c r="K10" s="8"/>
      <c r="L10" s="8"/>
      <c r="M10" s="8"/>
      <c r="N10" s="8"/>
      <c r="O10" s="8"/>
      <c r="P10" s="9">
        <f>IFERROR(IF(ROW()-ROW(Dados[[#Headers],[Total]])=1,Dados[[#This Row],[Abril]]+Dados[[#This Row],[Fevereiro]],SUM(INDEX(Dados[Fevereiro],1,1):Dados[[#This Row],[Fevereiro]],INDEX(Dados[Abril],1,1):Dados[[#This Row],[Abril]])),"")</f>
        <v>0</v>
      </c>
    </row>
    <row r="11" spans="2:16" ht="30" customHeight="1" x14ac:dyDescent="0.4">
      <c r="B11" s="6" t="s">
        <v>24</v>
      </c>
      <c r="C11" s="6">
        <v>44564</v>
      </c>
      <c r="D11" s="7"/>
      <c r="E11" s="8"/>
      <c r="F11" s="7">
        <v>3000</v>
      </c>
      <c r="G11" s="8"/>
      <c r="H11" s="8"/>
      <c r="I11" s="8"/>
      <c r="J11" s="8"/>
      <c r="K11" s="8"/>
      <c r="L11" s="8"/>
      <c r="M11" s="8"/>
      <c r="N11" s="8"/>
      <c r="O11" s="8"/>
      <c r="P11" s="9">
        <f>IFERROR(IF(ROW()-ROW(Dados[[#Headers],[Total]])=1,Dados[[#This Row],[Abril]]+Dados[[#This Row],[Fevereiro]],SUM(INDEX(Dados[Fevereiro],1,1):Dados[[#This Row],[Fevereiro]],INDEX(Dados[Abril],1,1):Dados[[#This Row],[Abril]])),"")</f>
        <v>0</v>
      </c>
    </row>
    <row r="12" spans="2:16" ht="30" customHeight="1" x14ac:dyDescent="0.4">
      <c r="B12" s="6" t="s">
        <v>25</v>
      </c>
      <c r="C12" s="6">
        <v>44230</v>
      </c>
      <c r="D12" s="7"/>
      <c r="E12" s="8"/>
      <c r="F12" s="7">
        <v>1400</v>
      </c>
      <c r="G12" s="8"/>
      <c r="H12" s="8"/>
      <c r="I12" s="8"/>
      <c r="J12" s="8"/>
      <c r="K12" s="8"/>
      <c r="L12" s="8"/>
      <c r="M12" s="8"/>
      <c r="N12" s="8"/>
      <c r="O12" s="8"/>
      <c r="P12" s="9">
        <f>IFERROR(IF(ROW()-ROW(Dados[[#Headers],[Total]])=1,Dados[[#This Row],[Abril]]+Dados[[#This Row],[Fevereiro]],SUM(INDEX(Dados[Fevereiro],1,1):Dados[[#This Row],[Fevereiro]],INDEX(Dados[Abril],1,1):Dados[[#This Row],[Abril]])),"")</f>
        <v>0</v>
      </c>
    </row>
    <row r="13" spans="2:16" ht="30" customHeight="1" x14ac:dyDescent="0.4">
      <c r="B13" s="3" t="s">
        <v>16</v>
      </c>
      <c r="C13" s="3"/>
      <c r="D13" s="3"/>
      <c r="E13" s="10"/>
      <c r="F13" s="3"/>
      <c r="G13" s="10"/>
      <c r="H13" s="10"/>
      <c r="I13" s="10"/>
      <c r="J13" s="10"/>
      <c r="K13" s="10"/>
      <c r="L13" s="10"/>
      <c r="M13" s="10"/>
      <c r="N13" s="10"/>
      <c r="O13" s="10"/>
      <c r="P13" s="3"/>
    </row>
    <row r="14" spans="2:16" ht="30" customHeight="1" x14ac:dyDescent="0.4">
      <c r="B14" s="3"/>
      <c r="C14" s="3"/>
      <c r="D14" s="3"/>
      <c r="E14" s="10"/>
      <c r="F14" s="3"/>
      <c r="G14" s="10"/>
      <c r="H14" s="10"/>
      <c r="I14" s="10"/>
      <c r="J14" s="10"/>
      <c r="K14" s="10"/>
      <c r="L14" s="10"/>
      <c r="M14" s="10"/>
      <c r="N14" s="10"/>
      <c r="O14" s="10"/>
      <c r="P14" s="3"/>
    </row>
    <row r="15" spans="2:16" ht="45" customHeight="1" x14ac:dyDescent="0.4">
      <c r="B15" s="2" t="s">
        <v>26</v>
      </c>
      <c r="C15" s="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2:16" ht="54.95" customHeight="1" x14ac:dyDescent="0.4">
      <c r="B16" s="3" t="s">
        <v>2</v>
      </c>
      <c r="C16" s="3" t="s">
        <v>3</v>
      </c>
      <c r="D16" s="4" t="s">
        <v>4</v>
      </c>
      <c r="E16" s="4" t="s">
        <v>5</v>
      </c>
      <c r="F16" s="4" t="s">
        <v>6</v>
      </c>
      <c r="G16" s="4" t="s">
        <v>7</v>
      </c>
      <c r="H16" s="4" t="s">
        <v>8</v>
      </c>
      <c r="I16" s="4" t="s">
        <v>9</v>
      </c>
      <c r="J16" s="4" t="s">
        <v>10</v>
      </c>
      <c r="K16" s="4" t="s">
        <v>11</v>
      </c>
      <c r="L16" s="4" t="s">
        <v>12</v>
      </c>
      <c r="M16" s="4" t="s">
        <v>13</v>
      </c>
      <c r="N16" s="4" t="s">
        <v>14</v>
      </c>
      <c r="O16" s="4" t="s">
        <v>15</v>
      </c>
      <c r="P16" s="5" t="s">
        <v>16</v>
      </c>
    </row>
    <row r="17" spans="2:16" ht="30" customHeight="1" x14ac:dyDescent="0.4">
      <c r="B17" s="6" t="s">
        <v>17</v>
      </c>
      <c r="C17" s="6"/>
      <c r="D17" s="7"/>
      <c r="E17" s="8"/>
      <c r="F17" s="7"/>
      <c r="G17" s="8"/>
      <c r="H17" s="8"/>
      <c r="I17" s="8"/>
      <c r="J17" s="8"/>
      <c r="K17" s="8"/>
      <c r="L17" s="8"/>
      <c r="M17" s="8"/>
      <c r="N17" s="8"/>
      <c r="O17" s="8"/>
      <c r="P17" s="9">
        <f>IFERROR(IF(ROW()-ROW(Dados10[[#Headers],[Total]])=1,Dados10[[#This Row],[Abril]]+Dados10[[#This Row],[Fevereiro]],SUM(INDEX(Dados10[Fevereiro],1,1):Dados10[[#This Row],[Fevereiro]],INDEX(Dados10[Abril],1,1):Dados10[[#This Row],[Abril]])), "")</f>
        <v>0</v>
      </c>
    </row>
    <row r="18" spans="2:16" ht="30" customHeight="1" x14ac:dyDescent="0.4">
      <c r="B18" s="6" t="s">
        <v>18</v>
      </c>
      <c r="C18" s="6"/>
      <c r="D18" s="7"/>
      <c r="E18" s="8"/>
      <c r="F18" s="7"/>
      <c r="G18" s="8"/>
      <c r="H18" s="8"/>
      <c r="I18" s="8"/>
      <c r="J18" s="8"/>
      <c r="K18" s="8"/>
      <c r="L18" s="8"/>
      <c r="M18" s="8"/>
      <c r="N18" s="8"/>
      <c r="O18" s="8"/>
      <c r="P18" s="9">
        <f>IFERROR(IF(ROW()-ROW(Dados10[[#Headers],[Total]])=1,Dados10[[#This Row],[Abril]]+Dados10[[#This Row],[Fevereiro]],SUM(INDEX(Dados10[Fevereiro],1,1):Dados10[[#This Row],[Fevereiro]],INDEX(Dados10[Abril],1,1):Dados10[[#This Row],[Abril]])),"")</f>
        <v>0</v>
      </c>
    </row>
    <row r="19" spans="2:16" ht="30" customHeight="1" x14ac:dyDescent="0.4">
      <c r="B19" s="6" t="s">
        <v>19</v>
      </c>
      <c r="C19" s="6"/>
      <c r="D19" s="7"/>
      <c r="E19" s="8"/>
      <c r="F19" s="7"/>
      <c r="G19" s="8"/>
      <c r="H19" s="8"/>
      <c r="I19" s="8"/>
      <c r="J19" s="8"/>
      <c r="K19" s="8"/>
      <c r="L19" s="8"/>
      <c r="M19" s="8"/>
      <c r="N19" s="8"/>
      <c r="O19" s="8"/>
      <c r="P19" s="9">
        <f>IFERROR(IF(ROW()-ROW(Dados10[[#Headers],[Total]])=1,Dados10[[#This Row],[Abril]]+Dados10[[#This Row],[Fevereiro]],SUM(INDEX(Dados10[Fevereiro],1,1):Dados10[[#This Row],[Fevereiro]],INDEX(Dados10[Abril],1,1):Dados10[[#This Row],[Abril]])),"")</f>
        <v>0</v>
      </c>
    </row>
    <row r="20" spans="2:16" ht="30" customHeight="1" x14ac:dyDescent="0.4">
      <c r="B20" s="6" t="s">
        <v>20</v>
      </c>
      <c r="C20" s="6"/>
      <c r="D20" s="7"/>
      <c r="E20" s="8"/>
      <c r="F20" s="7">
        <v>130.24</v>
      </c>
      <c r="G20" s="8"/>
      <c r="H20" s="8"/>
      <c r="I20" s="8"/>
      <c r="J20" s="8"/>
      <c r="K20" s="8"/>
      <c r="L20" s="8"/>
      <c r="M20" s="8"/>
      <c r="N20" s="8"/>
      <c r="O20" s="8"/>
      <c r="P20" s="9">
        <f>IFERROR(IF(ROW()-ROW(Dados10[[#Headers],[Total]])=1,Dados10[[#This Row],[Abril]]+Dados10[[#This Row],[Fevereiro]],SUM(INDEX(Dados10[Fevereiro],1,1):Dados10[[#This Row],[Fevereiro]],INDEX(Dados10[Abril],1,1):Dados10[[#This Row],[Abril]])),"")</f>
        <v>0</v>
      </c>
    </row>
    <row r="21" spans="2:16" ht="30" customHeight="1" x14ac:dyDescent="0.4">
      <c r="B21" s="6" t="s">
        <v>21</v>
      </c>
      <c r="C21" s="6"/>
      <c r="D21" s="7"/>
      <c r="E21" s="8"/>
      <c r="F21" s="7">
        <v>51.31</v>
      </c>
      <c r="G21" s="8"/>
      <c r="H21" s="8"/>
      <c r="I21" s="8"/>
      <c r="J21" s="8"/>
      <c r="K21" s="8"/>
      <c r="L21" s="8"/>
      <c r="M21" s="8"/>
      <c r="N21" s="8"/>
      <c r="O21" s="8"/>
      <c r="P21" s="9">
        <f>IFERROR(IF(ROW()-ROW(Dados10[[#Headers],[Total]])=1,Dados10[[#This Row],[Abril]]+Dados10[[#This Row],[Fevereiro]],SUM(INDEX(Dados10[Fevereiro],1,1):Dados10[[#This Row],[Fevereiro]],INDEX(Dados10[Abril],1,1):Dados10[[#This Row],[Abril]])),"")</f>
        <v>0</v>
      </c>
    </row>
    <row r="22" spans="2:16" ht="30" customHeight="1" x14ac:dyDescent="0.4">
      <c r="B22" s="6" t="s">
        <v>22</v>
      </c>
      <c r="C22" s="6"/>
      <c r="D22" s="7"/>
      <c r="E22" s="8"/>
      <c r="F22" s="7"/>
      <c r="G22" s="8"/>
      <c r="H22" s="8"/>
      <c r="I22" s="8"/>
      <c r="J22" s="8"/>
      <c r="K22" s="8"/>
      <c r="L22" s="8"/>
      <c r="M22" s="8"/>
      <c r="N22" s="8"/>
      <c r="O22" s="8"/>
      <c r="P22" s="9">
        <f>IFERROR(IF(ROW()-ROW(Dados10[[#Headers],[Total]])=1,Dados10[[#This Row],[Abril]]+Dados10[[#This Row],[Fevereiro]],SUM(INDEX(Dados10[Fevereiro],1,1):Dados10[[#This Row],[Fevereiro]],INDEX(Dados10[Abril],1,1):Dados10[[#This Row],[Abril]])),"")</f>
        <v>0</v>
      </c>
    </row>
    <row r="23" spans="2:16" ht="30" customHeight="1" x14ac:dyDescent="0.4">
      <c r="B23" s="6" t="s">
        <v>23</v>
      </c>
      <c r="C23" s="6"/>
      <c r="D23" s="7"/>
      <c r="E23" s="8"/>
      <c r="F23" s="7">
        <v>121.09</v>
      </c>
      <c r="G23" s="8"/>
      <c r="H23" s="8"/>
      <c r="I23" s="8"/>
      <c r="J23" s="8"/>
      <c r="K23" s="8"/>
      <c r="L23" s="8"/>
      <c r="M23" s="8"/>
      <c r="N23" s="8"/>
      <c r="O23" s="8"/>
      <c r="P23" s="9">
        <f>IFERROR(IF(ROW()-ROW(Dados10[[#Headers],[Total]])=1,Dados10[[#This Row],[Abril]]+Dados10[[#This Row],[Fevereiro]],SUM(INDEX(Dados10[Fevereiro],1,1):Dados10[[#This Row],[Fevereiro]],INDEX(Dados10[Abril],1,1):Dados10[[#This Row],[Abril]])),"")</f>
        <v>0</v>
      </c>
    </row>
    <row r="24" spans="2:16" ht="30" customHeight="1" x14ac:dyDescent="0.4">
      <c r="B24" s="6" t="s">
        <v>24</v>
      </c>
      <c r="C24" s="6"/>
      <c r="D24" s="7"/>
      <c r="E24" s="8"/>
      <c r="F24" s="7">
        <v>1.83</v>
      </c>
      <c r="G24" s="8"/>
      <c r="H24" s="8"/>
      <c r="I24" s="8"/>
      <c r="J24" s="8"/>
      <c r="K24" s="8"/>
      <c r="L24" s="8"/>
      <c r="M24" s="8"/>
      <c r="N24" s="8"/>
      <c r="O24" s="8"/>
      <c r="P24" s="9">
        <f>IFERROR(IF(ROW()-ROW(Dados10[[#Headers],[Total]])=1,Dados10[[#This Row],[Abril]]+Dados10[[#This Row],[Fevereiro]],SUM(INDEX(Dados10[Fevereiro],1,1):Dados10[[#This Row],[Fevereiro]],INDEX(Dados10[Abril],1,1):Dados10[[#This Row],[Abril]])),"")</f>
        <v>0</v>
      </c>
    </row>
    <row r="25" spans="2:16" ht="30" customHeight="1" x14ac:dyDescent="0.4">
      <c r="B25" s="6" t="s">
        <v>25</v>
      </c>
      <c r="C25" s="6"/>
      <c r="D25" s="7"/>
      <c r="E25" s="8"/>
      <c r="F25" s="7"/>
      <c r="G25" s="8"/>
      <c r="H25" s="8"/>
      <c r="I25" s="8"/>
      <c r="J25" s="8"/>
      <c r="K25" s="8"/>
      <c r="L25" s="8"/>
      <c r="M25" s="8"/>
      <c r="N25" s="8"/>
      <c r="O25" s="8"/>
      <c r="P25" s="9">
        <f>IFERROR(IF(ROW()-ROW(Dados10[[#Headers],[Total]])=1,Dados10[[#This Row],[Abril]]+Dados10[[#This Row],[Fevereiro]],SUM(INDEX(Dados10[Fevereiro],1,1):Dados10[[#This Row],[Fevereiro]],INDEX(Dados10[Abril],1,1):Dados10[[#This Row],[Abril]])),"")</f>
        <v>0</v>
      </c>
    </row>
    <row r="26" spans="2:16" ht="30" customHeight="1" x14ac:dyDescent="0.4">
      <c r="B26" s="3" t="s">
        <v>16</v>
      </c>
      <c r="C26" s="3"/>
      <c r="D26" s="3"/>
      <c r="E26" s="10"/>
      <c r="F26" s="3"/>
      <c r="G26" s="10"/>
      <c r="H26" s="10"/>
      <c r="I26" s="10"/>
      <c r="J26" s="10"/>
      <c r="K26" s="10"/>
      <c r="L26" s="10"/>
      <c r="M26" s="10"/>
      <c r="N26" s="10"/>
      <c r="O26" s="10"/>
      <c r="P26" s="3"/>
    </row>
    <row r="27" spans="2:16" ht="30" customHeight="1" x14ac:dyDescent="0.4">
      <c r="B27" s="3"/>
      <c r="C27" s="3"/>
      <c r="D27" s="3"/>
      <c r="E27" s="10"/>
      <c r="F27" s="3"/>
      <c r="G27" s="10"/>
      <c r="H27" s="10"/>
      <c r="I27" s="10"/>
      <c r="J27" s="10"/>
      <c r="K27" s="10"/>
      <c r="L27" s="10"/>
      <c r="M27" s="10"/>
      <c r="N27" s="10"/>
      <c r="O27" s="10"/>
      <c r="P27" s="3"/>
    </row>
    <row r="28" spans="2:16" ht="45" customHeight="1" x14ac:dyDescent="0.4">
      <c r="B28" s="2" t="s">
        <v>27</v>
      </c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2:16" ht="54.95" customHeight="1" x14ac:dyDescent="0.4">
      <c r="B29" s="3" t="s">
        <v>2</v>
      </c>
      <c r="C29" s="3" t="s">
        <v>3</v>
      </c>
      <c r="D29" s="4" t="s">
        <v>4</v>
      </c>
      <c r="E29" s="4" t="s">
        <v>5</v>
      </c>
      <c r="F29" s="4" t="s">
        <v>6</v>
      </c>
      <c r="G29" s="4" t="s">
        <v>7</v>
      </c>
      <c r="H29" s="4" t="s">
        <v>8</v>
      </c>
      <c r="I29" s="4" t="s">
        <v>9</v>
      </c>
      <c r="J29" s="4" t="s">
        <v>10</v>
      </c>
      <c r="K29" s="4" t="s">
        <v>11</v>
      </c>
      <c r="L29" s="4" t="s">
        <v>12</v>
      </c>
      <c r="M29" s="4" t="s">
        <v>13</v>
      </c>
      <c r="N29" s="4" t="s">
        <v>14</v>
      </c>
      <c r="O29" s="4" t="s">
        <v>15</v>
      </c>
      <c r="P29" s="5" t="s">
        <v>16</v>
      </c>
    </row>
    <row r="30" spans="2:16" ht="30" customHeight="1" x14ac:dyDescent="0.4">
      <c r="B30" s="6" t="s">
        <v>17</v>
      </c>
      <c r="C30" s="6"/>
      <c r="D30" s="7"/>
      <c r="E30" s="8"/>
      <c r="F30" s="7"/>
      <c r="G30" s="8"/>
      <c r="H30" s="8"/>
      <c r="I30" s="8"/>
      <c r="J30" s="8"/>
      <c r="K30" s="8"/>
      <c r="L30" s="8"/>
      <c r="M30" s="8"/>
      <c r="N30" s="8"/>
      <c r="O30" s="8"/>
      <c r="P30" s="9">
        <f>IFERROR(IF(ROW()-ROW(Dados39[[#Headers],[Total]])=1,Dados39[[#This Row],[Abril]]+Dados39[[#This Row],[Fevereiro]],SUM(INDEX(Dados39[Fevereiro],1,1):Dados39[[#This Row],[Fevereiro]],INDEX(Dados39[Abril],1,1):Dados39[[#This Row],[Abril]])), "")</f>
        <v>0</v>
      </c>
    </row>
    <row r="31" spans="2:16" ht="30" customHeight="1" x14ac:dyDescent="0.4">
      <c r="B31" s="6" t="s">
        <v>18</v>
      </c>
      <c r="C31" s="6"/>
      <c r="D31" s="7"/>
      <c r="E31" s="8"/>
      <c r="F31" s="7"/>
      <c r="G31" s="8"/>
      <c r="H31" s="8"/>
      <c r="I31" s="8"/>
      <c r="J31" s="8"/>
      <c r="K31" s="8"/>
      <c r="L31" s="8"/>
      <c r="M31" s="8"/>
      <c r="N31" s="8"/>
      <c r="O31" s="8"/>
      <c r="P31" s="9">
        <f>IFERROR(IF(ROW()-ROW(Dados39[[#Headers],[Total]])=1,Dados39[[#This Row],[Abril]]+Dados39[[#This Row],[Fevereiro]],SUM(INDEX(Dados39[Fevereiro],1,1):Dados39[[#This Row],[Fevereiro]],INDEX(Dados39[Abril],1,1):Dados39[[#This Row],[Abril]])),"")</f>
        <v>0</v>
      </c>
    </row>
    <row r="32" spans="2:16" ht="30" customHeight="1" x14ac:dyDescent="0.4">
      <c r="B32" s="6" t="s">
        <v>19</v>
      </c>
      <c r="C32" s="6"/>
      <c r="D32" s="7"/>
      <c r="E32" s="8"/>
      <c r="F32" s="7"/>
      <c r="G32" s="8"/>
      <c r="H32" s="8"/>
      <c r="I32" s="8"/>
      <c r="J32" s="8"/>
      <c r="K32" s="8"/>
      <c r="L32" s="8"/>
      <c r="M32" s="8"/>
      <c r="N32" s="8"/>
      <c r="O32" s="8"/>
      <c r="P32" s="9">
        <f>IFERROR(IF(ROW()-ROW(Dados39[[#Headers],[Total]])=1,Dados39[[#This Row],[Abril]]+Dados39[[#This Row],[Fevereiro]],SUM(INDEX(Dados39[Fevereiro],1,1):Dados39[[#This Row],[Fevereiro]],INDEX(Dados39[Abril],1,1):Dados39[[#This Row],[Abril]])),"")</f>
        <v>0</v>
      </c>
    </row>
    <row r="33" spans="2:16" ht="30" customHeight="1" x14ac:dyDescent="0.4">
      <c r="B33" s="6" t="s">
        <v>20</v>
      </c>
      <c r="C33" s="6"/>
      <c r="D33" s="7"/>
      <c r="E33" s="8"/>
      <c r="F33" s="7">
        <v>100</v>
      </c>
      <c r="G33" s="8"/>
      <c r="H33" s="8"/>
      <c r="I33" s="8"/>
      <c r="J33" s="8"/>
      <c r="K33" s="8"/>
      <c r="L33" s="8"/>
      <c r="M33" s="8"/>
      <c r="N33" s="8"/>
      <c r="O33" s="8"/>
      <c r="P33" s="9">
        <f>IFERROR(IF(ROW()-ROW(Dados39[[#Headers],[Total]])=1,Dados39[[#This Row],[Abril]]+Dados39[[#This Row],[Fevereiro]],SUM(INDEX(Dados39[Fevereiro],1,1):Dados39[[#This Row],[Fevereiro]],INDEX(Dados39[Abril],1,1):Dados39[[#This Row],[Abril]])),"")</f>
        <v>0</v>
      </c>
    </row>
    <row r="34" spans="2:16" ht="30" customHeight="1" x14ac:dyDescent="0.4">
      <c r="B34" s="6" t="s">
        <v>21</v>
      </c>
      <c r="C34" s="6"/>
      <c r="D34" s="7"/>
      <c r="E34" s="8"/>
      <c r="F34" s="7"/>
      <c r="G34" s="8"/>
      <c r="H34" s="8"/>
      <c r="I34" s="8"/>
      <c r="J34" s="8"/>
      <c r="K34" s="8"/>
      <c r="L34" s="8"/>
      <c r="M34" s="8"/>
      <c r="N34" s="8"/>
      <c r="O34" s="8"/>
      <c r="P34" s="9">
        <f>IFERROR(IF(ROW()-ROW(Dados39[[#Headers],[Total]])=1,Dados39[[#This Row],[Abril]]+Dados39[[#This Row],[Fevereiro]],SUM(INDEX(Dados39[Fevereiro],1,1):Dados39[[#This Row],[Fevereiro]],INDEX(Dados39[Abril],1,1):Dados39[[#This Row],[Abril]])),"")</f>
        <v>0</v>
      </c>
    </row>
    <row r="35" spans="2:16" ht="30" customHeight="1" x14ac:dyDescent="0.4">
      <c r="B35" s="6" t="s">
        <v>22</v>
      </c>
      <c r="C35" s="6"/>
      <c r="D35" s="7"/>
      <c r="E35" s="8"/>
      <c r="F35" s="7"/>
      <c r="G35" s="8"/>
      <c r="H35" s="8"/>
      <c r="I35" s="8"/>
      <c r="J35" s="8"/>
      <c r="K35" s="8"/>
      <c r="L35" s="8"/>
      <c r="M35" s="8"/>
      <c r="N35" s="8"/>
      <c r="O35" s="8"/>
      <c r="P35" s="9">
        <f>IFERROR(IF(ROW()-ROW(Dados39[[#Headers],[Total]])=1,Dados39[[#This Row],[Abril]]+Dados39[[#This Row],[Fevereiro]],SUM(INDEX(Dados39[Fevereiro],1,1):Dados39[[#This Row],[Fevereiro]],INDEX(Dados39[Abril],1,1):Dados39[[#This Row],[Abril]])),"")</f>
        <v>0</v>
      </c>
    </row>
    <row r="36" spans="2:16" ht="30" customHeight="1" x14ac:dyDescent="0.4">
      <c r="B36" s="6" t="s">
        <v>23</v>
      </c>
      <c r="C36" s="6"/>
      <c r="D36" s="7"/>
      <c r="E36" s="8"/>
      <c r="F36" s="7">
        <v>100</v>
      </c>
      <c r="G36" s="8"/>
      <c r="H36" s="8"/>
      <c r="I36" s="8"/>
      <c r="J36" s="8"/>
      <c r="K36" s="8"/>
      <c r="L36" s="8"/>
      <c r="M36" s="8"/>
      <c r="N36" s="8"/>
      <c r="O36" s="8"/>
      <c r="P36" s="9">
        <f>IFERROR(IF(ROW()-ROW(Dados39[[#Headers],[Total]])=1,Dados39[[#This Row],[Abril]]+Dados39[[#This Row],[Fevereiro]],SUM(INDEX(Dados39[Fevereiro],1,1):Dados39[[#This Row],[Fevereiro]],INDEX(Dados39[Abril],1,1):Dados39[[#This Row],[Abril]])),"")</f>
        <v>0</v>
      </c>
    </row>
    <row r="37" spans="2:16" ht="30" customHeight="1" x14ac:dyDescent="0.4">
      <c r="B37" s="6" t="s">
        <v>24</v>
      </c>
      <c r="C37" s="6"/>
      <c r="D37" s="7"/>
      <c r="E37" s="8"/>
      <c r="F37" s="7">
        <v>200</v>
      </c>
      <c r="G37" s="8"/>
      <c r="H37" s="8"/>
      <c r="I37" s="8"/>
      <c r="J37" s="8"/>
      <c r="K37" s="8"/>
      <c r="L37" s="8"/>
      <c r="M37" s="8"/>
      <c r="N37" s="8"/>
      <c r="O37" s="8"/>
      <c r="P37" s="9">
        <f>IFERROR(IF(ROW()-ROW(Dados39[[#Headers],[Total]])=1,Dados39[[#This Row],[Abril]]+Dados39[[#This Row],[Fevereiro]],SUM(INDEX(Dados39[Fevereiro],1,1):Dados39[[#This Row],[Fevereiro]],INDEX(Dados39[Abril],1,1):Dados39[[#This Row],[Abril]])),"")</f>
        <v>0</v>
      </c>
    </row>
    <row r="38" spans="2:16" ht="30" customHeight="1" x14ac:dyDescent="0.4">
      <c r="B38" s="6" t="s">
        <v>25</v>
      </c>
      <c r="C38" s="6"/>
      <c r="D38" s="7"/>
      <c r="E38" s="8"/>
      <c r="F38" s="7"/>
      <c r="G38" s="8"/>
      <c r="H38" s="8"/>
      <c r="I38" s="8"/>
      <c r="J38" s="8"/>
      <c r="K38" s="8"/>
      <c r="L38" s="8"/>
      <c r="M38" s="8"/>
      <c r="N38" s="8"/>
      <c r="O38" s="8"/>
      <c r="P38" s="9">
        <f>IFERROR(IF(ROW()-ROW(Dados39[[#Headers],[Total]])=1,Dados39[[#This Row],[Abril]]+Dados39[[#This Row],[Fevereiro]],SUM(INDEX(Dados39[Fevereiro],1,1):Dados39[[#This Row],[Fevereiro]],INDEX(Dados39[Abril],1,1):Dados39[[#This Row],[Abril]])),"")</f>
        <v>0</v>
      </c>
    </row>
    <row r="39" spans="2:16" ht="30" customHeight="1" x14ac:dyDescent="0.4">
      <c r="B39" s="3" t="s">
        <v>16</v>
      </c>
      <c r="C39" s="3"/>
      <c r="D39" s="3"/>
      <c r="E39" s="10"/>
      <c r="F39" s="3"/>
      <c r="G39" s="10"/>
      <c r="H39" s="10"/>
      <c r="I39" s="10"/>
      <c r="J39" s="10"/>
      <c r="K39" s="10"/>
      <c r="L39" s="10"/>
      <c r="M39" s="10"/>
      <c r="N39" s="10"/>
      <c r="O39" s="10"/>
      <c r="P39" s="3"/>
    </row>
    <row r="40" spans="2:16" ht="30" customHeight="1" x14ac:dyDescent="0.4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ht="45" customHeight="1" x14ac:dyDescent="0.4">
      <c r="B41" s="2" t="s">
        <v>28</v>
      </c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2:16" ht="54.95" customHeight="1" x14ac:dyDescent="0.4">
      <c r="B42" s="3" t="s">
        <v>2</v>
      </c>
      <c r="C42" s="3" t="s">
        <v>3</v>
      </c>
      <c r="D42" s="4" t="s">
        <v>4</v>
      </c>
      <c r="E42" s="4" t="s">
        <v>5</v>
      </c>
      <c r="F42" s="4" t="s">
        <v>6</v>
      </c>
      <c r="G42" s="4" t="s">
        <v>7</v>
      </c>
      <c r="H42" s="4" t="s">
        <v>8</v>
      </c>
      <c r="I42" s="4" t="s">
        <v>9</v>
      </c>
      <c r="J42" s="4" t="s">
        <v>10</v>
      </c>
      <c r="K42" s="4" t="s">
        <v>11</v>
      </c>
      <c r="L42" s="4" t="s">
        <v>12</v>
      </c>
      <c r="M42" s="4" t="s">
        <v>13</v>
      </c>
      <c r="N42" s="4" t="s">
        <v>14</v>
      </c>
      <c r="O42" s="4" t="s">
        <v>15</v>
      </c>
      <c r="P42" s="5" t="s">
        <v>16</v>
      </c>
    </row>
    <row r="43" spans="2:16" ht="30" customHeight="1" x14ac:dyDescent="0.4">
      <c r="B43" s="6" t="s">
        <v>17</v>
      </c>
      <c r="C43" s="6"/>
      <c r="D43" s="7"/>
      <c r="E43" s="8"/>
      <c r="F43" s="7">
        <v>38.64</v>
      </c>
      <c r="G43" s="8"/>
      <c r="H43" s="8"/>
      <c r="I43" s="8"/>
      <c r="J43" s="8"/>
      <c r="K43" s="8"/>
      <c r="L43" s="8"/>
      <c r="M43" s="8"/>
      <c r="N43" s="8"/>
      <c r="O43" s="8"/>
      <c r="P43" s="9">
        <f>IFERROR(IF(ROW()-ROW(Dados3[[#Headers],[Total]])=1,Dados3[[#This Row],[Abril]]+Dados3[[#This Row],[Fevereiro]],SUM(INDEX(Dados3[Fevereiro],1,1):Dados3[[#This Row],[Fevereiro]],INDEX(Dados3[Abril],1,1):Dados3[[#This Row],[Abril]])), "")</f>
        <v>0</v>
      </c>
    </row>
    <row r="44" spans="2:16" ht="30" customHeight="1" x14ac:dyDescent="0.4">
      <c r="B44" s="6" t="s">
        <v>18</v>
      </c>
      <c r="C44" s="6"/>
      <c r="D44" s="7"/>
      <c r="E44" s="8"/>
      <c r="F44" s="7"/>
      <c r="G44" s="8"/>
      <c r="H44" s="8"/>
      <c r="I44" s="8"/>
      <c r="J44" s="8"/>
      <c r="K44" s="8"/>
      <c r="L44" s="8"/>
      <c r="M44" s="8"/>
      <c r="N44" s="8"/>
      <c r="O44" s="8"/>
      <c r="P44" s="9">
        <f>IFERROR(IF(ROW()-ROW(Dados3[[#Headers],[Total]])=1,Dados3[[#This Row],[Abril]]+Dados3[[#This Row],[Fevereiro]],SUM(INDEX(Dados3[Fevereiro],1,1):Dados3[[#This Row],[Fevereiro]],INDEX(Dados3[Abril],1,1):Dados3[[#This Row],[Abril]])),"")</f>
        <v>0</v>
      </c>
    </row>
    <row r="45" spans="2:16" ht="30" customHeight="1" x14ac:dyDescent="0.4">
      <c r="B45" s="6" t="s">
        <v>19</v>
      </c>
      <c r="C45" s="6"/>
      <c r="D45" s="7"/>
      <c r="E45" s="8"/>
      <c r="F45" s="7">
        <v>475.8</v>
      </c>
      <c r="G45" s="8"/>
      <c r="H45" s="8"/>
      <c r="I45" s="8"/>
      <c r="J45" s="8"/>
      <c r="K45" s="8"/>
      <c r="L45" s="8"/>
      <c r="M45" s="8"/>
      <c r="N45" s="8"/>
      <c r="O45" s="8"/>
      <c r="P45" s="9">
        <f>IFERROR(IF(ROW()-ROW(Dados3[[#Headers],[Total]])=1,Dados3[[#This Row],[Abril]]+Dados3[[#This Row],[Fevereiro]],SUM(INDEX(Dados3[Fevereiro],1,1):Dados3[[#This Row],[Fevereiro]],INDEX(Dados3[Abril],1,1):Dados3[[#This Row],[Abril]])),"")</f>
        <v>0</v>
      </c>
    </row>
    <row r="46" spans="2:16" ht="30" customHeight="1" x14ac:dyDescent="0.4">
      <c r="B46" s="6" t="s">
        <v>20</v>
      </c>
      <c r="C46" s="6"/>
      <c r="D46" s="7"/>
      <c r="E46" s="8"/>
      <c r="F46" s="7"/>
      <c r="G46" s="8"/>
      <c r="H46" s="8"/>
      <c r="I46" s="8"/>
      <c r="J46" s="8"/>
      <c r="K46" s="8"/>
      <c r="L46" s="8"/>
      <c r="M46" s="8"/>
      <c r="N46" s="8"/>
      <c r="O46" s="8"/>
      <c r="P46" s="9">
        <f>IFERROR(IF(ROW()-ROW(Dados3[[#Headers],[Total]])=1,Dados3[[#This Row],[Abril]]+Dados3[[#This Row],[Fevereiro]],SUM(INDEX(Dados3[Fevereiro],1,1):Dados3[[#This Row],[Fevereiro]],INDEX(Dados3[Abril],1,1):Dados3[[#This Row],[Abril]])),"")</f>
        <v>0</v>
      </c>
    </row>
    <row r="47" spans="2:16" ht="30" customHeight="1" x14ac:dyDescent="0.4">
      <c r="B47" s="6" t="s">
        <v>21</v>
      </c>
      <c r="C47" s="6"/>
      <c r="D47" s="7"/>
      <c r="E47" s="8"/>
      <c r="F47" s="7"/>
      <c r="G47" s="8"/>
      <c r="H47" s="8"/>
      <c r="I47" s="8"/>
      <c r="J47" s="8"/>
      <c r="K47" s="8"/>
      <c r="L47" s="8"/>
      <c r="M47" s="8"/>
      <c r="N47" s="8"/>
      <c r="O47" s="8"/>
      <c r="P47" s="9">
        <f>IFERROR(IF(ROW()-ROW(Dados3[[#Headers],[Total]])=1,Dados3[[#This Row],[Abril]]+Dados3[[#This Row],[Fevereiro]],SUM(INDEX(Dados3[Fevereiro],1,1):Dados3[[#This Row],[Fevereiro]],INDEX(Dados3[Abril],1,1):Dados3[[#This Row],[Abril]])),"")</f>
        <v>0</v>
      </c>
    </row>
    <row r="48" spans="2:16" ht="30" customHeight="1" x14ac:dyDescent="0.4">
      <c r="B48" s="6" t="s">
        <v>22</v>
      </c>
      <c r="C48" s="6"/>
      <c r="D48" s="7"/>
      <c r="E48" s="8"/>
      <c r="F48" s="7"/>
      <c r="G48" s="8"/>
      <c r="H48" s="8"/>
      <c r="I48" s="8"/>
      <c r="J48" s="8"/>
      <c r="K48" s="8"/>
      <c r="L48" s="8"/>
      <c r="M48" s="8"/>
      <c r="N48" s="8"/>
      <c r="O48" s="8"/>
      <c r="P48" s="9">
        <f>IFERROR(IF(ROW()-ROW(Dados3[[#Headers],[Total]])=1,Dados3[[#This Row],[Abril]]+Dados3[[#This Row],[Fevereiro]],SUM(INDEX(Dados3[Fevereiro],1,1):Dados3[[#This Row],[Fevereiro]],INDEX(Dados3[Abril],1,1):Dados3[[#This Row],[Abril]])),"")</f>
        <v>0</v>
      </c>
    </row>
    <row r="49" spans="2:16" ht="30" customHeight="1" x14ac:dyDescent="0.4">
      <c r="B49" s="6" t="s">
        <v>23</v>
      </c>
      <c r="C49" s="6"/>
      <c r="D49" s="7"/>
      <c r="E49" s="8"/>
      <c r="F49" s="7"/>
      <c r="G49" s="8"/>
      <c r="H49" s="8"/>
      <c r="I49" s="8"/>
      <c r="J49" s="8"/>
      <c r="K49" s="8"/>
      <c r="L49" s="8"/>
      <c r="M49" s="8"/>
      <c r="N49" s="8"/>
      <c r="O49" s="8"/>
      <c r="P49" s="9">
        <f>IFERROR(IF(ROW()-ROW(Dados3[[#Headers],[Total]])=1,Dados3[[#This Row],[Abril]]+Dados3[[#This Row],[Fevereiro]],SUM(INDEX(Dados3[Fevereiro],1,1):Dados3[[#This Row],[Fevereiro]],INDEX(Dados3[Abril],1,1):Dados3[[#This Row],[Abril]])),"")</f>
        <v>0</v>
      </c>
    </row>
    <row r="50" spans="2:16" ht="30" customHeight="1" x14ac:dyDescent="0.4">
      <c r="B50" s="6" t="s">
        <v>24</v>
      </c>
      <c r="C50" s="6"/>
      <c r="D50" s="7"/>
      <c r="E50" s="8"/>
      <c r="F50" s="7">
        <v>741.83</v>
      </c>
      <c r="G50" s="8"/>
      <c r="H50" s="8"/>
      <c r="I50" s="8"/>
      <c r="J50" s="8"/>
      <c r="K50" s="8"/>
      <c r="L50" s="8"/>
      <c r="M50" s="8"/>
      <c r="N50" s="8"/>
      <c r="O50" s="8"/>
      <c r="P50" s="9">
        <f>IFERROR(IF(ROW()-ROW(Dados3[[#Headers],[Total]])=1,Dados3[[#This Row],[Abril]]+Dados3[[#This Row],[Fevereiro]],SUM(INDEX(Dados3[Fevereiro],1,1):Dados3[[#This Row],[Fevereiro]],INDEX(Dados3[Abril],1,1):Dados3[[#This Row],[Abril]])),"")</f>
        <v>0</v>
      </c>
    </row>
    <row r="51" spans="2:16" ht="30" customHeight="1" x14ac:dyDescent="0.4">
      <c r="B51" s="6" t="s">
        <v>25</v>
      </c>
      <c r="C51" s="6"/>
      <c r="D51" s="7"/>
      <c r="E51" s="8"/>
      <c r="F51" s="7"/>
      <c r="G51" s="8"/>
      <c r="H51" s="8"/>
      <c r="I51" s="8"/>
      <c r="J51" s="8"/>
      <c r="K51" s="8"/>
      <c r="L51" s="8"/>
      <c r="M51" s="8"/>
      <c r="N51" s="8"/>
      <c r="O51" s="8"/>
      <c r="P51" s="9">
        <f>IFERROR(IF(ROW()-ROW(Dados3[[#Headers],[Total]])=1,Dados3[[#This Row],[Abril]]+Dados3[[#This Row],[Fevereiro]],SUM(INDEX(Dados3[Fevereiro],1,1):Dados3[[#This Row],[Fevereiro]],INDEX(Dados3[Abril],1,1):Dados3[[#This Row],[Abril]])),"")</f>
        <v>0</v>
      </c>
    </row>
    <row r="52" spans="2:16" ht="30" customHeight="1" x14ac:dyDescent="0.4">
      <c r="B52" s="3" t="s">
        <v>16</v>
      </c>
      <c r="C52" s="3"/>
      <c r="D52" s="3"/>
      <c r="E52" s="10"/>
      <c r="F52" s="3"/>
      <c r="G52" s="10"/>
      <c r="H52" s="10"/>
      <c r="I52" s="10"/>
      <c r="J52" s="10"/>
      <c r="K52" s="10"/>
      <c r="L52" s="10"/>
      <c r="M52" s="10"/>
      <c r="N52" s="10"/>
      <c r="O52" s="10"/>
      <c r="P52" s="3"/>
    </row>
    <row r="54" spans="2:16" ht="45" customHeight="1" x14ac:dyDescent="0.4">
      <c r="B54" s="2" t="s">
        <v>29</v>
      </c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2:16" ht="54.95" customHeight="1" x14ac:dyDescent="0.4">
      <c r="B55" s="3" t="s">
        <v>2</v>
      </c>
      <c r="C55" s="3" t="s">
        <v>3</v>
      </c>
      <c r="D55" s="4" t="s">
        <v>4</v>
      </c>
      <c r="E55" s="4" t="s">
        <v>5</v>
      </c>
      <c r="F55" s="4" t="s">
        <v>6</v>
      </c>
      <c r="G55" s="4" t="s">
        <v>7</v>
      </c>
      <c r="H55" s="4" t="s">
        <v>8</v>
      </c>
      <c r="I55" s="4" t="s">
        <v>9</v>
      </c>
      <c r="J55" s="4" t="s">
        <v>10</v>
      </c>
      <c r="K55" s="4" t="s">
        <v>11</v>
      </c>
      <c r="L55" s="4" t="s">
        <v>12</v>
      </c>
      <c r="M55" s="4" t="s">
        <v>13</v>
      </c>
      <c r="N55" s="4" t="s">
        <v>14</v>
      </c>
      <c r="O55" s="4" t="s">
        <v>15</v>
      </c>
      <c r="P55" s="5" t="s">
        <v>16</v>
      </c>
    </row>
    <row r="56" spans="2:16" ht="30" customHeight="1" x14ac:dyDescent="0.4">
      <c r="B56" s="6" t="s">
        <v>17</v>
      </c>
      <c r="C56" s="6"/>
      <c r="D56" s="7"/>
      <c r="E56" s="8"/>
      <c r="F56" s="7"/>
      <c r="G56" s="8"/>
      <c r="H56" s="8"/>
      <c r="I56" s="8"/>
      <c r="J56" s="8"/>
      <c r="K56" s="8"/>
      <c r="L56" s="8"/>
      <c r="M56" s="8"/>
      <c r="N56" s="8"/>
      <c r="O56" s="8"/>
      <c r="P56" s="9">
        <f>IFERROR(IF(ROW()-ROW(Dados36[[#Headers],[Total]])=1,Dados36[[#This Row],[Abril]]+Dados36[[#This Row],[Fevereiro]],SUM(INDEX(Dados36[Fevereiro],1,1):Dados36[[#This Row],[Fevereiro]],INDEX(Dados36[Abril],1,1):Dados36[[#This Row],[Abril]])), "")</f>
        <v>0</v>
      </c>
    </row>
    <row r="57" spans="2:16" ht="30" customHeight="1" x14ac:dyDescent="0.4">
      <c r="B57" s="6" t="s">
        <v>30</v>
      </c>
      <c r="C57" s="6"/>
      <c r="D57" s="7"/>
      <c r="E57" s="8"/>
      <c r="F57" s="7">
        <v>130</v>
      </c>
      <c r="G57" s="8"/>
      <c r="H57" s="8"/>
      <c r="I57" s="8"/>
      <c r="J57" s="8"/>
      <c r="K57" s="8"/>
      <c r="L57" s="8"/>
      <c r="M57" s="8"/>
      <c r="N57" s="8"/>
      <c r="O57" s="8"/>
      <c r="P57" s="9">
        <f>IFERROR(IF(ROW()-ROW(Dados36[[#Headers],[Total]])=1,Dados36[[#This Row],[Abril]]+Dados36[[#This Row],[Fevereiro]],SUM(INDEX(Dados36[Fevereiro],1,1):Dados36[[#This Row],[Fevereiro]],INDEX(Dados36[Abril],1,1):Dados36[[#This Row],[Abril]])),"")</f>
        <v>0</v>
      </c>
    </row>
    <row r="58" spans="2:16" ht="30" customHeight="1" x14ac:dyDescent="0.4">
      <c r="B58" s="6" t="s">
        <v>19</v>
      </c>
      <c r="C58" s="6"/>
      <c r="D58" s="7"/>
      <c r="E58" s="8"/>
      <c r="F58" s="7">
        <v>130</v>
      </c>
      <c r="G58" s="8"/>
      <c r="H58" s="8"/>
      <c r="I58" s="8"/>
      <c r="J58" s="8"/>
      <c r="K58" s="8"/>
      <c r="L58" s="8"/>
      <c r="M58" s="8"/>
      <c r="N58" s="8"/>
      <c r="O58" s="8"/>
      <c r="P58" s="9">
        <f>IFERROR(IF(ROW()-ROW(Dados36[[#Headers],[Total]])=1,Dados36[[#This Row],[Abril]]+Dados36[[#This Row],[Fevereiro]],SUM(INDEX(Dados36[Fevereiro],1,1):Dados36[[#This Row],[Fevereiro]],INDEX(Dados36[Abril],1,1):Dados36[[#This Row],[Abril]])),"")</f>
        <v>0</v>
      </c>
    </row>
    <row r="59" spans="2:16" ht="30" customHeight="1" x14ac:dyDescent="0.4">
      <c r="B59" s="6" t="s">
        <v>20</v>
      </c>
      <c r="C59" s="6"/>
      <c r="D59" s="7"/>
      <c r="E59" s="8"/>
      <c r="F59" s="7"/>
      <c r="G59" s="8"/>
      <c r="H59" s="8"/>
      <c r="I59" s="8"/>
      <c r="J59" s="8"/>
      <c r="K59" s="8"/>
      <c r="L59" s="8"/>
      <c r="M59" s="8"/>
      <c r="N59" s="8"/>
      <c r="O59" s="8"/>
      <c r="P59" s="9">
        <f>IFERROR(IF(ROW()-ROW(Dados36[[#Headers],[Total]])=1,Dados36[[#This Row],[Abril]]+Dados36[[#This Row],[Fevereiro]],SUM(INDEX(Dados36[Fevereiro],1,1):Dados36[[#This Row],[Fevereiro]],INDEX(Dados36[Abril],1,1):Dados36[[#This Row],[Abril]])),"")</f>
        <v>0</v>
      </c>
    </row>
    <row r="60" spans="2:16" ht="30" customHeight="1" x14ac:dyDescent="0.4">
      <c r="B60" s="6" t="s">
        <v>21</v>
      </c>
      <c r="C60" s="6"/>
      <c r="D60" s="7"/>
      <c r="E60" s="8"/>
      <c r="F60" s="7">
        <v>130</v>
      </c>
      <c r="G60" s="8"/>
      <c r="H60" s="8"/>
      <c r="I60" s="8"/>
      <c r="J60" s="8"/>
      <c r="K60" s="8"/>
      <c r="L60" s="8"/>
      <c r="M60" s="8"/>
      <c r="N60" s="8"/>
      <c r="O60" s="8"/>
      <c r="P60" s="9">
        <f>IFERROR(IF(ROW()-ROW(Dados36[[#Headers],[Total]])=1,Dados36[[#This Row],[Abril]]+Dados36[[#This Row],[Fevereiro]],SUM(INDEX(Dados36[Fevereiro],1,1):Dados36[[#This Row],[Fevereiro]],INDEX(Dados36[Abril],1,1):Dados36[[#This Row],[Abril]])),"")</f>
        <v>0</v>
      </c>
    </row>
    <row r="61" spans="2:16" ht="30" customHeight="1" x14ac:dyDescent="0.4">
      <c r="B61" s="6" t="s">
        <v>22</v>
      </c>
      <c r="C61" s="6"/>
      <c r="D61" s="7"/>
      <c r="E61" s="8"/>
      <c r="F61" s="7">
        <v>130</v>
      </c>
      <c r="G61" s="8"/>
      <c r="H61" s="8"/>
      <c r="I61" s="8"/>
      <c r="J61" s="8"/>
      <c r="K61" s="8"/>
      <c r="L61" s="8"/>
      <c r="M61" s="8"/>
      <c r="N61" s="8"/>
      <c r="O61" s="8"/>
      <c r="P61" s="9">
        <f>IFERROR(IF(ROW()-ROW(Dados36[[#Headers],[Total]])=1,Dados36[[#This Row],[Abril]]+Dados36[[#This Row],[Fevereiro]],SUM(INDEX(Dados36[Fevereiro],1,1):Dados36[[#This Row],[Fevereiro]],INDEX(Dados36[Abril],1,1):Dados36[[#This Row],[Abril]])),"")</f>
        <v>0</v>
      </c>
    </row>
    <row r="62" spans="2:16" ht="30" customHeight="1" x14ac:dyDescent="0.4">
      <c r="B62" s="6" t="s">
        <v>23</v>
      </c>
      <c r="C62" s="6"/>
      <c r="D62" s="7"/>
      <c r="E62" s="8"/>
      <c r="F62" s="7">
        <v>130</v>
      </c>
      <c r="G62" s="8"/>
      <c r="H62" s="8"/>
      <c r="I62" s="8"/>
      <c r="J62" s="8"/>
      <c r="K62" s="8"/>
      <c r="L62" s="8"/>
      <c r="M62" s="8"/>
      <c r="N62" s="8"/>
      <c r="O62" s="8"/>
      <c r="P62" s="9">
        <f>IFERROR(IF(ROW()-ROW(Dados36[[#Headers],[Total]])=1,Dados36[[#This Row],[Abril]]+Dados36[[#This Row],[Fevereiro]],SUM(INDEX(Dados36[Fevereiro],1,1):Dados36[[#This Row],[Fevereiro]],INDEX(Dados36[Abril],1,1):Dados36[[#This Row],[Abril]])),"")</f>
        <v>0</v>
      </c>
    </row>
    <row r="63" spans="2:16" ht="30" customHeight="1" x14ac:dyDescent="0.4">
      <c r="B63" s="6" t="s">
        <v>24</v>
      </c>
      <c r="C63" s="6"/>
      <c r="D63" s="7"/>
      <c r="E63" s="8"/>
      <c r="F63" s="7"/>
      <c r="G63" s="8"/>
      <c r="H63" s="8"/>
      <c r="I63" s="8"/>
      <c r="J63" s="8"/>
      <c r="K63" s="8"/>
      <c r="L63" s="8"/>
      <c r="M63" s="8"/>
      <c r="N63" s="8"/>
      <c r="O63" s="8"/>
      <c r="P63" s="9">
        <f>IFERROR(IF(ROW()-ROW(Dados36[[#Headers],[Total]])=1,Dados36[[#This Row],[Abril]]+Dados36[[#This Row],[Fevereiro]],SUM(INDEX(Dados36[Fevereiro],1,1):Dados36[[#This Row],[Fevereiro]],INDEX(Dados36[Abril],1,1):Dados36[[#This Row],[Abril]])),"")</f>
        <v>0</v>
      </c>
    </row>
    <row r="64" spans="2:16" ht="30" customHeight="1" x14ac:dyDescent="0.4">
      <c r="B64" s="6" t="s">
        <v>25</v>
      </c>
      <c r="C64" s="6"/>
      <c r="D64" s="7"/>
      <c r="E64" s="8"/>
      <c r="F64" s="7"/>
      <c r="G64" s="8"/>
      <c r="H64" s="8"/>
      <c r="I64" s="8"/>
      <c r="J64" s="8"/>
      <c r="K64" s="8"/>
      <c r="L64" s="8"/>
      <c r="M64" s="8"/>
      <c r="N64" s="8"/>
      <c r="O64" s="8"/>
      <c r="P64" s="9">
        <f>IFERROR(IF(ROW()-ROW(Dados36[[#Headers],[Total]])=1,Dados36[[#This Row],[Abril]]+Dados36[[#This Row],[Fevereiro]],SUM(INDEX(Dados36[Fevereiro],1,1):Dados36[[#This Row],[Fevereiro]],INDEX(Dados36[Abril],1,1):Dados36[[#This Row],[Abril]])),"")</f>
        <v>0</v>
      </c>
    </row>
    <row r="65" spans="2:16" ht="30" customHeight="1" x14ac:dyDescent="0.4">
      <c r="B65" s="3" t="s">
        <v>16</v>
      </c>
      <c r="C65" s="3"/>
      <c r="D65" s="3"/>
      <c r="E65" s="10"/>
      <c r="F65" s="3"/>
      <c r="G65" s="10"/>
      <c r="H65" s="10"/>
      <c r="I65" s="10"/>
      <c r="J65" s="10"/>
      <c r="K65" s="10"/>
      <c r="L65" s="10"/>
      <c r="M65" s="10"/>
      <c r="N65" s="10"/>
      <c r="O65" s="10"/>
      <c r="P65" s="3"/>
    </row>
    <row r="66" spans="2:16" ht="30" customHeight="1" x14ac:dyDescent="0.4">
      <c r="B66" s="3"/>
      <c r="C66" s="3"/>
      <c r="D66" s="3"/>
      <c r="E66" s="10"/>
      <c r="F66" s="3"/>
      <c r="G66" s="10"/>
      <c r="H66" s="10"/>
      <c r="I66" s="10"/>
      <c r="J66" s="10"/>
      <c r="K66" s="10"/>
      <c r="L66" s="10"/>
      <c r="M66" s="10"/>
      <c r="N66" s="10"/>
      <c r="O66" s="10"/>
      <c r="P66" s="3"/>
    </row>
    <row r="67" spans="2:16" ht="30" customHeight="1" x14ac:dyDescent="0.4">
      <c r="B67" s="3"/>
      <c r="C67" s="3"/>
      <c r="D67" s="3"/>
      <c r="E67" s="10"/>
      <c r="F67" s="3"/>
      <c r="G67" s="10"/>
      <c r="H67" s="10"/>
      <c r="I67" s="10"/>
      <c r="J67" s="10"/>
      <c r="K67" s="10"/>
      <c r="L67" s="10"/>
      <c r="M67" s="10"/>
      <c r="N67" s="10"/>
      <c r="O67" s="10"/>
      <c r="P67" s="3"/>
    </row>
    <row r="68" spans="2:16" ht="45" customHeight="1" x14ac:dyDescent="0.4">
      <c r="B68" s="2" t="s">
        <v>31</v>
      </c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2:16" ht="54.95" customHeight="1" x14ac:dyDescent="0.4">
      <c r="B69" s="3" t="s">
        <v>2</v>
      </c>
      <c r="C69" s="3" t="s">
        <v>3</v>
      </c>
      <c r="D69" s="4" t="s">
        <v>4</v>
      </c>
      <c r="E69" s="4" t="s">
        <v>5</v>
      </c>
      <c r="F69" s="4" t="s">
        <v>6</v>
      </c>
      <c r="G69" s="4" t="s">
        <v>7</v>
      </c>
      <c r="H69" s="4" t="s">
        <v>8</v>
      </c>
      <c r="I69" s="4" t="s">
        <v>9</v>
      </c>
      <c r="J69" s="4" t="s">
        <v>10</v>
      </c>
      <c r="K69" s="4" t="s">
        <v>11</v>
      </c>
      <c r="L69" s="4" t="s">
        <v>12</v>
      </c>
      <c r="M69" s="4" t="s">
        <v>13</v>
      </c>
      <c r="N69" s="4" t="s">
        <v>14</v>
      </c>
      <c r="O69" s="4" t="s">
        <v>15</v>
      </c>
      <c r="P69" s="5" t="s">
        <v>16</v>
      </c>
    </row>
    <row r="70" spans="2:16" ht="30" customHeight="1" x14ac:dyDescent="0.4">
      <c r="B70" s="6" t="s">
        <v>17</v>
      </c>
      <c r="C70" s="6"/>
      <c r="D70" s="7"/>
      <c r="E70" s="8"/>
      <c r="F70" s="7"/>
      <c r="G70" s="8"/>
      <c r="H70" s="8"/>
      <c r="I70" s="8"/>
      <c r="J70" s="8"/>
      <c r="K70" s="8"/>
      <c r="L70" s="8"/>
      <c r="M70" s="8"/>
      <c r="N70" s="8"/>
      <c r="O70" s="8"/>
      <c r="P70" s="9">
        <f>IFERROR(IF(ROW()-ROW(Dados3411[[#Headers],[Total]])=1,Dados3411[[#This Row],[Abril]]+Dados3411[[#This Row],[Fevereiro]],SUM(INDEX(Dados3411[Fevereiro],1,1):Dados3411[[#This Row],[Fevereiro]],INDEX(Dados3411[Abril],1,1):Dados3411[[#This Row],[Abril]])), "")</f>
        <v>0</v>
      </c>
    </row>
    <row r="71" spans="2:16" ht="30" customHeight="1" x14ac:dyDescent="0.4">
      <c r="B71" s="6" t="s">
        <v>30</v>
      </c>
      <c r="C71" s="6"/>
      <c r="D71" s="7"/>
      <c r="E71" s="8"/>
      <c r="F71" s="7"/>
      <c r="G71" s="8"/>
      <c r="H71" s="8"/>
      <c r="I71" s="8"/>
      <c r="J71" s="8"/>
      <c r="K71" s="8"/>
      <c r="L71" s="8"/>
      <c r="M71" s="8"/>
      <c r="N71" s="8"/>
      <c r="O71" s="8"/>
      <c r="P71" s="9">
        <f>IFERROR(IF(ROW()-ROW(Dados3411[[#Headers],[Total]])=1,Dados3411[[#This Row],[Abril]]+Dados3411[[#This Row],[Fevereiro]],SUM(INDEX(Dados3411[Fevereiro],1,1):Dados3411[[#This Row],[Fevereiro]],INDEX(Dados3411[Abril],1,1):Dados3411[[#This Row],[Abril]])),"")</f>
        <v>0</v>
      </c>
    </row>
    <row r="72" spans="2:16" ht="30" customHeight="1" x14ac:dyDescent="0.4">
      <c r="B72" s="6" t="s">
        <v>19</v>
      </c>
      <c r="C72" s="6"/>
      <c r="D72" s="7"/>
      <c r="E72" s="8"/>
      <c r="F72" s="7"/>
      <c r="G72" s="8"/>
      <c r="H72" s="8"/>
      <c r="I72" s="8"/>
      <c r="J72" s="8"/>
      <c r="K72" s="8"/>
      <c r="L72" s="8"/>
      <c r="M72" s="8"/>
      <c r="N72" s="8"/>
      <c r="O72" s="8"/>
      <c r="P72" s="9">
        <f>IFERROR(IF(ROW()-ROW(Dados3411[[#Headers],[Total]])=1,Dados3411[[#This Row],[Abril]]+Dados3411[[#This Row],[Fevereiro]],SUM(INDEX(Dados3411[Fevereiro],1,1):Dados3411[[#This Row],[Fevereiro]],INDEX(Dados3411[Abril],1,1):Dados3411[[#This Row],[Abril]])),"")</f>
        <v>0</v>
      </c>
    </row>
    <row r="73" spans="2:16" ht="30" customHeight="1" x14ac:dyDescent="0.4">
      <c r="B73" s="6" t="s">
        <v>20</v>
      </c>
      <c r="C73" s="6"/>
      <c r="D73" s="7"/>
      <c r="E73" s="8"/>
      <c r="F73" s="7"/>
      <c r="G73" s="8"/>
      <c r="H73" s="8"/>
      <c r="I73" s="8"/>
      <c r="J73" s="8"/>
      <c r="K73" s="8"/>
      <c r="L73" s="8"/>
      <c r="M73" s="8"/>
      <c r="N73" s="8"/>
      <c r="O73" s="8"/>
      <c r="P73" s="9">
        <f>IFERROR(IF(ROW()-ROW(Dados3411[[#Headers],[Total]])=1,Dados3411[[#This Row],[Abril]]+Dados3411[[#This Row],[Fevereiro]],SUM(INDEX(Dados3411[Fevereiro],1,1):Dados3411[[#This Row],[Fevereiro]],INDEX(Dados3411[Abril],1,1):Dados3411[[#This Row],[Abril]])),"")</f>
        <v>0</v>
      </c>
    </row>
    <row r="74" spans="2:16" ht="30" customHeight="1" x14ac:dyDescent="0.4">
      <c r="B74" s="6" t="s">
        <v>21</v>
      </c>
      <c r="C74" s="6"/>
      <c r="D74" s="7"/>
      <c r="E74" s="8"/>
      <c r="F74" s="7">
        <v>214.92</v>
      </c>
      <c r="G74" s="8"/>
      <c r="H74" s="8"/>
      <c r="I74" s="8"/>
      <c r="J74" s="8"/>
      <c r="K74" s="8"/>
      <c r="L74" s="8"/>
      <c r="M74" s="8"/>
      <c r="N74" s="8"/>
      <c r="O74" s="8"/>
      <c r="P74" s="9">
        <f>IFERROR(IF(ROW()-ROW(Dados3411[[#Headers],[Total]])=1,Dados3411[[#This Row],[Abril]]+Dados3411[[#This Row],[Fevereiro]],SUM(INDEX(Dados3411[Fevereiro],1,1):Dados3411[[#This Row],[Fevereiro]],INDEX(Dados3411[Abril],1,1):Dados3411[[#This Row],[Abril]])),"")</f>
        <v>0</v>
      </c>
    </row>
    <row r="75" spans="2:16" ht="30" customHeight="1" x14ac:dyDescent="0.4">
      <c r="B75" s="6" t="s">
        <v>22</v>
      </c>
      <c r="C75" s="6"/>
      <c r="D75" s="7"/>
      <c r="E75" s="8"/>
      <c r="F75" s="7"/>
      <c r="G75" s="8"/>
      <c r="H75" s="8"/>
      <c r="I75" s="8"/>
      <c r="J75" s="8"/>
      <c r="K75" s="8"/>
      <c r="L75" s="8"/>
      <c r="M75" s="8"/>
      <c r="N75" s="8"/>
      <c r="O75" s="8"/>
      <c r="P75" s="9">
        <f>IFERROR(IF(ROW()-ROW(Dados3411[[#Headers],[Total]])=1,Dados3411[[#This Row],[Abril]]+Dados3411[[#This Row],[Fevereiro]],SUM(INDEX(Dados3411[Fevereiro],1,1):Dados3411[[#This Row],[Fevereiro]],INDEX(Dados3411[Abril],1,1):Dados3411[[#This Row],[Abril]])),"")</f>
        <v>0</v>
      </c>
    </row>
    <row r="76" spans="2:16" ht="30" customHeight="1" x14ac:dyDescent="0.4">
      <c r="B76" s="6" t="s">
        <v>23</v>
      </c>
      <c r="C76" s="6"/>
      <c r="D76" s="7"/>
      <c r="E76" s="8"/>
      <c r="F76" s="7"/>
      <c r="G76" s="8"/>
      <c r="H76" s="8"/>
      <c r="I76" s="8"/>
      <c r="J76" s="8"/>
      <c r="K76" s="8"/>
      <c r="L76" s="8"/>
      <c r="M76" s="8"/>
      <c r="N76" s="8"/>
      <c r="O76" s="8"/>
      <c r="P76" s="9">
        <f>IFERROR(IF(ROW()-ROW(Dados3411[[#Headers],[Total]])=1,Dados3411[[#This Row],[Abril]]+Dados3411[[#This Row],[Fevereiro]],SUM(INDEX(Dados3411[Fevereiro],1,1):Dados3411[[#This Row],[Fevereiro]],INDEX(Dados3411[Abril],1,1):Dados3411[[#This Row],[Abril]])),"")</f>
        <v>0</v>
      </c>
    </row>
    <row r="77" spans="2:16" ht="30" customHeight="1" x14ac:dyDescent="0.4">
      <c r="B77" s="6" t="s">
        <v>24</v>
      </c>
      <c r="C77" s="6"/>
      <c r="D77" s="7"/>
      <c r="E77" s="8"/>
      <c r="F77" s="7">
        <v>172.67</v>
      </c>
      <c r="G77" s="8"/>
      <c r="H77" s="8"/>
      <c r="I77" s="8"/>
      <c r="J77" s="8"/>
      <c r="K77" s="8"/>
      <c r="L77" s="8"/>
      <c r="M77" s="8"/>
      <c r="N77" s="8"/>
      <c r="O77" s="8"/>
      <c r="P77" s="9">
        <f>IFERROR(IF(ROW()-ROW(Dados3411[[#Headers],[Total]])=1,Dados3411[[#This Row],[Abril]]+Dados3411[[#This Row],[Fevereiro]],SUM(INDEX(Dados3411[Fevereiro],1,1):Dados3411[[#This Row],[Fevereiro]],INDEX(Dados3411[Abril],1,1):Dados3411[[#This Row],[Abril]])),"")</f>
        <v>0</v>
      </c>
    </row>
    <row r="78" spans="2:16" ht="30" customHeight="1" x14ac:dyDescent="0.4">
      <c r="B78" s="6" t="s">
        <v>25</v>
      </c>
      <c r="C78" s="6"/>
      <c r="D78" s="7"/>
      <c r="E78" s="8"/>
      <c r="F78" s="7">
        <v>95.82</v>
      </c>
      <c r="G78" s="8"/>
      <c r="H78" s="8"/>
      <c r="I78" s="8"/>
      <c r="J78" s="8"/>
      <c r="K78" s="8"/>
      <c r="L78" s="8"/>
      <c r="M78" s="8"/>
      <c r="N78" s="8"/>
      <c r="O78" s="8"/>
      <c r="P78" s="9">
        <f>IFERROR(IF(ROW()-ROW(Dados3411[[#Headers],[Total]])=1,Dados3411[[#This Row],[Abril]]+Dados3411[[#This Row],[Fevereiro]],SUM(INDEX(Dados3411[Fevereiro],1,1):Dados3411[[#This Row],[Fevereiro]],INDEX(Dados3411[Abril],1,1):Dados3411[[#This Row],[Abril]])),"")</f>
        <v>0</v>
      </c>
    </row>
    <row r="79" spans="2:16" ht="30" customHeight="1" x14ac:dyDescent="0.4">
      <c r="B79" s="3" t="s">
        <v>16</v>
      </c>
      <c r="C79" s="3"/>
      <c r="D79" s="3"/>
      <c r="E79" s="10">
        <f>SUBTOTAL(109,Dados3411[Fevereiro])</f>
        <v>0</v>
      </c>
      <c r="F79" s="3"/>
      <c r="G79" s="10">
        <f>SUBTOTAL(109,Dados3411[Abril])</f>
        <v>0</v>
      </c>
      <c r="H79" s="10"/>
      <c r="I79" s="10"/>
      <c r="J79" s="10"/>
      <c r="K79" s="10"/>
      <c r="L79" s="10"/>
      <c r="M79" s="10"/>
      <c r="N79" s="10"/>
      <c r="O79" s="10"/>
      <c r="P79" s="3"/>
    </row>
    <row r="80" spans="2:16" ht="30" customHeight="1" x14ac:dyDescent="0.4">
      <c r="B80" s="3"/>
      <c r="C80" s="3"/>
      <c r="D80" s="3"/>
      <c r="E80" s="10"/>
      <c r="F80" s="3"/>
      <c r="G80" s="10"/>
      <c r="H80" s="10"/>
      <c r="I80" s="10"/>
      <c r="J80" s="10"/>
      <c r="K80" s="10"/>
      <c r="L80" s="10"/>
      <c r="M80" s="10"/>
      <c r="N80" s="10"/>
      <c r="O80" s="10"/>
      <c r="P80" s="3"/>
    </row>
    <row r="81" spans="2:16" ht="45" customHeight="1" x14ac:dyDescent="0.4">
      <c r="B81" s="2" t="s">
        <v>32</v>
      </c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2:16" ht="54.95" customHeight="1" x14ac:dyDescent="0.4">
      <c r="B82" s="3" t="s">
        <v>2</v>
      </c>
      <c r="C82" s="3" t="s">
        <v>3</v>
      </c>
      <c r="D82" s="4" t="s">
        <v>4</v>
      </c>
      <c r="E82" s="4" t="s">
        <v>5</v>
      </c>
      <c r="F82" s="4" t="s">
        <v>6</v>
      </c>
      <c r="G82" s="4" t="s">
        <v>7</v>
      </c>
      <c r="H82" s="4" t="s">
        <v>8</v>
      </c>
      <c r="I82" s="4" t="s">
        <v>9</v>
      </c>
      <c r="J82" s="4" t="s">
        <v>10</v>
      </c>
      <c r="K82" s="4" t="s">
        <v>11</v>
      </c>
      <c r="L82" s="4" t="s">
        <v>12</v>
      </c>
      <c r="M82" s="4" t="s">
        <v>13</v>
      </c>
      <c r="N82" s="4" t="s">
        <v>14</v>
      </c>
      <c r="O82" s="4" t="s">
        <v>15</v>
      </c>
      <c r="P82" s="5" t="s">
        <v>16</v>
      </c>
    </row>
    <row r="83" spans="2:16" ht="30" customHeight="1" x14ac:dyDescent="0.4">
      <c r="B83" s="6" t="s">
        <v>17</v>
      </c>
      <c r="C83" s="6"/>
      <c r="D83" s="7"/>
      <c r="E83" s="8"/>
      <c r="F83" s="7"/>
      <c r="G83" s="8"/>
      <c r="H83" s="8"/>
      <c r="I83" s="8"/>
      <c r="J83" s="8"/>
      <c r="K83" s="8"/>
      <c r="L83" s="8"/>
      <c r="M83" s="8"/>
      <c r="N83" s="8"/>
      <c r="O83" s="8"/>
      <c r="P83" s="9">
        <f>IFERROR(IF(ROW()-ROW(Dados341112[[#Headers],[Total]])=1,Dados341112[[#This Row],[Abril]]+Dados341112[[#This Row],[Fevereiro]],SUM(INDEX(Dados341112[Fevereiro],1,1):Dados341112[[#This Row],[Fevereiro]],INDEX(Dados341112[Abril],1,1):Dados341112[[#This Row],[Abril]])), "")</f>
        <v>0</v>
      </c>
    </row>
    <row r="84" spans="2:16" ht="30" customHeight="1" x14ac:dyDescent="0.4">
      <c r="B84" s="6" t="s">
        <v>30</v>
      </c>
      <c r="C84" s="6"/>
      <c r="D84" s="7"/>
      <c r="E84" s="8"/>
      <c r="F84" s="7"/>
      <c r="G84" s="8"/>
      <c r="H84" s="8"/>
      <c r="I84" s="8"/>
      <c r="J84" s="8"/>
      <c r="K84" s="8"/>
      <c r="L84" s="8"/>
      <c r="M84" s="8"/>
      <c r="N84" s="8"/>
      <c r="O84" s="8"/>
      <c r="P84" s="9">
        <f>IFERROR(IF(ROW()-ROW(Dados341112[[#Headers],[Total]])=1,Dados341112[[#This Row],[Abril]]+Dados341112[[#This Row],[Fevereiro]],SUM(INDEX(Dados341112[Fevereiro],1,1):Dados341112[[#This Row],[Fevereiro]],INDEX(Dados341112[Abril],1,1):Dados341112[[#This Row],[Abril]])),"")</f>
        <v>0</v>
      </c>
    </row>
    <row r="85" spans="2:16" ht="30" customHeight="1" x14ac:dyDescent="0.4">
      <c r="B85" s="6" t="s">
        <v>19</v>
      </c>
      <c r="C85" s="6"/>
      <c r="D85" s="7"/>
      <c r="E85" s="8"/>
      <c r="F85" s="7"/>
      <c r="G85" s="8"/>
      <c r="H85" s="8"/>
      <c r="I85" s="8"/>
      <c r="J85" s="8"/>
      <c r="K85" s="8"/>
      <c r="L85" s="8"/>
      <c r="M85" s="8"/>
      <c r="N85" s="8"/>
      <c r="O85" s="8"/>
      <c r="P85" s="9">
        <f>IFERROR(IF(ROW()-ROW(Dados341112[[#Headers],[Total]])=1,Dados341112[[#This Row],[Abril]]+Dados341112[[#This Row],[Fevereiro]],SUM(INDEX(Dados341112[Fevereiro],1,1):Dados341112[[#This Row],[Fevereiro]],INDEX(Dados341112[Abril],1,1):Dados341112[[#This Row],[Abril]])),"")</f>
        <v>0</v>
      </c>
    </row>
    <row r="86" spans="2:16" ht="30" customHeight="1" x14ac:dyDescent="0.4">
      <c r="B86" s="6" t="s">
        <v>20</v>
      </c>
      <c r="C86" s="6"/>
      <c r="D86" s="7"/>
      <c r="E86" s="8"/>
      <c r="F86" s="7"/>
      <c r="G86" s="8"/>
      <c r="H86" s="8"/>
      <c r="I86" s="8"/>
      <c r="J86" s="8"/>
      <c r="K86" s="8"/>
      <c r="L86" s="8"/>
      <c r="M86" s="8"/>
      <c r="N86" s="8"/>
      <c r="O86" s="8"/>
      <c r="P86" s="9">
        <f>IFERROR(IF(ROW()-ROW(Dados341112[[#Headers],[Total]])=1,Dados341112[[#This Row],[Abril]]+Dados341112[[#This Row],[Fevereiro]],SUM(INDEX(Dados341112[Fevereiro],1,1):Dados341112[[#This Row],[Fevereiro]],INDEX(Dados341112[Abril],1,1):Dados341112[[#This Row],[Abril]])),"")</f>
        <v>0</v>
      </c>
    </row>
    <row r="87" spans="2:16" ht="30" customHeight="1" x14ac:dyDescent="0.4">
      <c r="B87" s="6" t="s">
        <v>21</v>
      </c>
      <c r="C87" s="6"/>
      <c r="D87" s="7"/>
      <c r="E87" s="8"/>
      <c r="F87" s="7">
        <v>32.28</v>
      </c>
      <c r="G87" s="8"/>
      <c r="H87" s="8"/>
      <c r="I87" s="8"/>
      <c r="J87" s="8"/>
      <c r="K87" s="8"/>
      <c r="L87" s="8"/>
      <c r="M87" s="8"/>
      <c r="N87" s="8"/>
      <c r="O87" s="8"/>
      <c r="P87" s="9">
        <f>IFERROR(IF(ROW()-ROW(Dados341112[[#Headers],[Total]])=1,Dados341112[[#This Row],[Abril]]+Dados341112[[#This Row],[Fevereiro]],SUM(INDEX(Dados341112[Fevereiro],1,1):Dados341112[[#This Row],[Fevereiro]],INDEX(Dados341112[Abril],1,1):Dados341112[[#This Row],[Abril]])),"")</f>
        <v>0</v>
      </c>
    </row>
    <row r="88" spans="2:16" ht="30" customHeight="1" x14ac:dyDescent="0.4">
      <c r="B88" s="6" t="s">
        <v>22</v>
      </c>
      <c r="C88" s="6"/>
      <c r="D88" s="7"/>
      <c r="E88" s="8"/>
      <c r="F88" s="7"/>
      <c r="G88" s="8"/>
      <c r="H88" s="8"/>
      <c r="I88" s="8"/>
      <c r="J88" s="8"/>
      <c r="K88" s="8"/>
      <c r="L88" s="8"/>
      <c r="M88" s="8"/>
      <c r="N88" s="8"/>
      <c r="O88" s="8"/>
      <c r="P88" s="9">
        <f>IFERROR(IF(ROW()-ROW(Dados341112[[#Headers],[Total]])=1,Dados341112[[#This Row],[Abril]]+Dados341112[[#This Row],[Fevereiro]],SUM(INDEX(Dados341112[Fevereiro],1,1):Dados341112[[#This Row],[Fevereiro]],INDEX(Dados341112[Abril],1,1):Dados341112[[#This Row],[Abril]])),"")</f>
        <v>0</v>
      </c>
    </row>
    <row r="89" spans="2:16" ht="30" customHeight="1" x14ac:dyDescent="0.4">
      <c r="B89" s="6" t="s">
        <v>23</v>
      </c>
      <c r="C89" s="6"/>
      <c r="D89" s="7"/>
      <c r="E89" s="8"/>
      <c r="F89" s="7"/>
      <c r="G89" s="8"/>
      <c r="H89" s="8"/>
      <c r="I89" s="8"/>
      <c r="J89" s="8"/>
      <c r="K89" s="8"/>
      <c r="L89" s="8"/>
      <c r="M89" s="8"/>
      <c r="N89" s="8"/>
      <c r="O89" s="8"/>
      <c r="P89" s="9">
        <f>IFERROR(IF(ROW()-ROW(Dados341112[[#Headers],[Total]])=1,Dados341112[[#This Row],[Abril]]+Dados341112[[#This Row],[Fevereiro]],SUM(INDEX(Dados341112[Fevereiro],1,1):Dados341112[[#This Row],[Fevereiro]],INDEX(Dados341112[Abril],1,1):Dados341112[[#This Row],[Abril]])),"")</f>
        <v>0</v>
      </c>
    </row>
    <row r="90" spans="2:16" ht="30" customHeight="1" x14ac:dyDescent="0.4">
      <c r="B90" s="6" t="s">
        <v>24</v>
      </c>
      <c r="C90" s="6"/>
      <c r="D90" s="7"/>
      <c r="E90" s="8"/>
      <c r="F90" s="7"/>
      <c r="G90" s="8"/>
      <c r="H90" s="8"/>
      <c r="I90" s="8"/>
      <c r="J90" s="8"/>
      <c r="K90" s="8"/>
      <c r="L90" s="8"/>
      <c r="M90" s="8"/>
      <c r="N90" s="8"/>
      <c r="O90" s="8"/>
      <c r="P90" s="9">
        <f>IFERROR(IF(ROW()-ROW(Dados341112[[#Headers],[Total]])=1,Dados341112[[#This Row],[Abril]]+Dados341112[[#This Row],[Fevereiro]],SUM(INDEX(Dados341112[Fevereiro],1,1):Dados341112[[#This Row],[Fevereiro]],INDEX(Dados341112[Abril],1,1):Dados341112[[#This Row],[Abril]])),"")</f>
        <v>0</v>
      </c>
    </row>
    <row r="91" spans="2:16" ht="30" customHeight="1" x14ac:dyDescent="0.4">
      <c r="B91" s="6" t="s">
        <v>25</v>
      </c>
      <c r="C91" s="6"/>
      <c r="D91" s="7"/>
      <c r="E91" s="8"/>
      <c r="F91" s="7"/>
      <c r="G91" s="8"/>
      <c r="H91" s="8"/>
      <c r="I91" s="8"/>
      <c r="J91" s="8"/>
      <c r="K91" s="8"/>
      <c r="L91" s="8"/>
      <c r="M91" s="8"/>
      <c r="N91" s="8"/>
      <c r="O91" s="8"/>
      <c r="P91" s="9">
        <f>IFERROR(IF(ROW()-ROW(Dados341112[[#Headers],[Total]])=1,Dados341112[[#This Row],[Abril]]+Dados341112[[#This Row],[Fevereiro]],SUM(INDEX(Dados341112[Fevereiro],1,1):Dados341112[[#This Row],[Fevereiro]],INDEX(Dados341112[Abril],1,1):Dados341112[[#This Row],[Abril]])),"")</f>
        <v>0</v>
      </c>
    </row>
    <row r="92" spans="2:16" ht="30" customHeight="1" x14ac:dyDescent="0.4">
      <c r="B92" s="3" t="s">
        <v>16</v>
      </c>
      <c r="C92" s="3"/>
      <c r="D92" s="3"/>
      <c r="E92" s="10">
        <f>SUBTOTAL(109,Dados341112[Fevereiro])</f>
        <v>0</v>
      </c>
      <c r="F92" s="3"/>
      <c r="G92" s="10">
        <f>SUBTOTAL(109,Dados341112[Abril])</f>
        <v>0</v>
      </c>
      <c r="H92" s="10"/>
      <c r="I92" s="10"/>
      <c r="J92" s="10"/>
      <c r="K92" s="10"/>
      <c r="L92" s="10"/>
      <c r="M92" s="10"/>
      <c r="N92" s="10"/>
      <c r="O92" s="10"/>
      <c r="P92" s="3"/>
    </row>
    <row r="93" spans="2:16" ht="30" customHeight="1" x14ac:dyDescent="0.4">
      <c r="B93" s="3"/>
      <c r="C93" s="3"/>
      <c r="D93" s="3"/>
      <c r="E93" s="10"/>
      <c r="F93" s="3"/>
      <c r="G93" s="10"/>
      <c r="H93" s="10"/>
      <c r="I93" s="10"/>
      <c r="J93" s="10"/>
      <c r="K93" s="10"/>
      <c r="L93" s="10"/>
      <c r="M93" s="10"/>
      <c r="N93" s="10"/>
      <c r="O93" s="10"/>
      <c r="P93" s="3"/>
    </row>
    <row r="94" spans="2:16" ht="45" customHeight="1" x14ac:dyDescent="0.4">
      <c r="B94" s="2" t="s">
        <v>33</v>
      </c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2:16" ht="54.95" customHeight="1" x14ac:dyDescent="0.4">
      <c r="B95" s="3" t="s">
        <v>2</v>
      </c>
      <c r="C95" s="3" t="s">
        <v>3</v>
      </c>
      <c r="D95" s="4" t="s">
        <v>4</v>
      </c>
      <c r="E95" s="4" t="s">
        <v>5</v>
      </c>
      <c r="F95" s="4" t="s">
        <v>6</v>
      </c>
      <c r="G95" s="4" t="s">
        <v>7</v>
      </c>
      <c r="H95" s="4" t="s">
        <v>8</v>
      </c>
      <c r="I95" s="4" t="s">
        <v>9</v>
      </c>
      <c r="J95" s="4" t="s">
        <v>10</v>
      </c>
      <c r="K95" s="4" t="s">
        <v>11</v>
      </c>
      <c r="L95" s="4" t="s">
        <v>12</v>
      </c>
      <c r="M95" s="4" t="s">
        <v>13</v>
      </c>
      <c r="N95" s="4" t="s">
        <v>14</v>
      </c>
      <c r="O95" s="4" t="s">
        <v>15</v>
      </c>
      <c r="P95" s="5" t="s">
        <v>16</v>
      </c>
    </row>
    <row r="96" spans="2:16" ht="30" customHeight="1" x14ac:dyDescent="0.4">
      <c r="B96" s="6" t="s">
        <v>17</v>
      </c>
      <c r="C96" s="6"/>
      <c r="D96" s="7"/>
      <c r="E96" s="8"/>
      <c r="F96" s="7">
        <v>61.56</v>
      </c>
      <c r="G96" s="8"/>
      <c r="H96" s="8"/>
      <c r="I96" s="8"/>
      <c r="J96" s="8"/>
      <c r="K96" s="8"/>
      <c r="L96" s="8"/>
      <c r="M96" s="8"/>
      <c r="N96" s="8"/>
      <c r="O96" s="8"/>
      <c r="P96" s="9">
        <f>IFERROR(IF(ROW()-ROW(Dados34[[#Headers],[Total]])=1,Dados34[[#This Row],[Abril]]+Dados34[[#This Row],[Fevereiro]],SUM(INDEX(Dados34[Fevereiro],1,1):Dados34[[#This Row],[Fevereiro]],INDEX(Dados34[Abril],1,1):Dados34[[#This Row],[Abril]])), "")</f>
        <v>0</v>
      </c>
    </row>
    <row r="97" spans="2:16" ht="30" customHeight="1" x14ac:dyDescent="0.4">
      <c r="B97" s="6" t="s">
        <v>30</v>
      </c>
      <c r="C97" s="6"/>
      <c r="D97" s="7"/>
      <c r="E97" s="8"/>
      <c r="F97" s="7"/>
      <c r="G97" s="8"/>
      <c r="H97" s="8"/>
      <c r="I97" s="8"/>
      <c r="J97" s="8"/>
      <c r="K97" s="8"/>
      <c r="L97" s="8"/>
      <c r="M97" s="8"/>
      <c r="N97" s="8"/>
      <c r="O97" s="8"/>
      <c r="P97" s="9">
        <f>IFERROR(IF(ROW()-ROW(Dados34[[#Headers],[Total]])=1,Dados34[[#This Row],[Abril]]+Dados34[[#This Row],[Fevereiro]],SUM(INDEX(Dados34[Fevereiro],1,1):Dados34[[#This Row],[Fevereiro]],INDEX(Dados34[Abril],1,1):Dados34[[#This Row],[Abril]])),"")</f>
        <v>0</v>
      </c>
    </row>
    <row r="98" spans="2:16" ht="30" customHeight="1" x14ac:dyDescent="0.4">
      <c r="B98" s="6" t="s">
        <v>19</v>
      </c>
      <c r="C98" s="6"/>
      <c r="D98" s="7"/>
      <c r="E98" s="8"/>
      <c r="F98" s="7"/>
      <c r="G98" s="8"/>
      <c r="H98" s="8"/>
      <c r="I98" s="8"/>
      <c r="J98" s="8"/>
      <c r="K98" s="8"/>
      <c r="L98" s="8"/>
      <c r="M98" s="8"/>
      <c r="N98" s="8"/>
      <c r="O98" s="8"/>
      <c r="P98" s="9">
        <f>IFERROR(IF(ROW()-ROW(Dados34[[#Headers],[Total]])=1,Dados34[[#This Row],[Abril]]+Dados34[[#This Row],[Fevereiro]],SUM(INDEX(Dados34[Fevereiro],1,1):Dados34[[#This Row],[Fevereiro]],INDEX(Dados34[Abril],1,1):Dados34[[#This Row],[Abril]])),"")</f>
        <v>0</v>
      </c>
    </row>
    <row r="99" spans="2:16" ht="30" customHeight="1" x14ac:dyDescent="0.4">
      <c r="B99" s="6" t="s">
        <v>20</v>
      </c>
      <c r="C99" s="6"/>
      <c r="D99" s="7"/>
      <c r="E99" s="8"/>
      <c r="F99" s="7">
        <v>193.8</v>
      </c>
      <c r="G99" s="8"/>
      <c r="H99" s="8"/>
      <c r="I99" s="8"/>
      <c r="J99" s="8"/>
      <c r="K99" s="8"/>
      <c r="L99" s="8"/>
      <c r="M99" s="8"/>
      <c r="N99" s="8"/>
      <c r="O99" s="8"/>
      <c r="P99" s="9">
        <f>IFERROR(IF(ROW()-ROW(Dados34[[#Headers],[Total]])=1,Dados34[[#This Row],[Abril]]+Dados34[[#This Row],[Fevereiro]],SUM(INDEX(Dados34[Fevereiro],1,1):Dados34[[#This Row],[Fevereiro]],INDEX(Dados34[Abril],1,1):Dados34[[#This Row],[Abril]])),"")</f>
        <v>0</v>
      </c>
    </row>
    <row r="100" spans="2:16" ht="30" customHeight="1" x14ac:dyDescent="0.4">
      <c r="B100" s="6" t="s">
        <v>21</v>
      </c>
      <c r="C100" s="6"/>
      <c r="D100" s="7"/>
      <c r="E100" s="8"/>
      <c r="F100" s="7"/>
      <c r="G100" s="8"/>
      <c r="H100" s="8"/>
      <c r="I100" s="8"/>
      <c r="J100" s="8"/>
      <c r="K100" s="8"/>
      <c r="L100" s="8"/>
      <c r="M100" s="8"/>
      <c r="N100" s="8"/>
      <c r="O100" s="8"/>
      <c r="P100" s="9">
        <f>IFERROR(IF(ROW()-ROW(Dados34[[#Headers],[Total]])=1,Dados34[[#This Row],[Abril]]+Dados34[[#This Row],[Fevereiro]],SUM(INDEX(Dados34[Fevereiro],1,1):Dados34[[#This Row],[Fevereiro]],INDEX(Dados34[Abril],1,1):Dados34[[#This Row],[Abril]])),"")</f>
        <v>0</v>
      </c>
    </row>
    <row r="101" spans="2:16" ht="30" customHeight="1" x14ac:dyDescent="0.4">
      <c r="B101" s="6" t="s">
        <v>22</v>
      </c>
      <c r="C101" s="6"/>
      <c r="D101" s="7"/>
      <c r="E101" s="8"/>
      <c r="F101" s="7">
        <v>66.09</v>
      </c>
      <c r="G101" s="8"/>
      <c r="H101" s="8"/>
      <c r="I101" s="8"/>
      <c r="J101" s="8"/>
      <c r="K101" s="8"/>
      <c r="L101" s="8"/>
      <c r="M101" s="8"/>
      <c r="N101" s="8"/>
      <c r="O101" s="8"/>
      <c r="P101" s="9">
        <f>IFERROR(IF(ROW()-ROW(Dados34[[#Headers],[Total]])=1,Dados34[[#This Row],[Abril]]+Dados34[[#This Row],[Fevereiro]],SUM(INDEX(Dados34[Fevereiro],1,1):Dados34[[#This Row],[Fevereiro]],INDEX(Dados34[Abril],1,1):Dados34[[#This Row],[Abril]])),"")</f>
        <v>0</v>
      </c>
    </row>
    <row r="102" spans="2:16" ht="30" customHeight="1" x14ac:dyDescent="0.4">
      <c r="B102" s="6" t="s">
        <v>23</v>
      </c>
      <c r="C102" s="6"/>
      <c r="D102" s="7"/>
      <c r="E102" s="8"/>
      <c r="F102" s="7"/>
      <c r="G102" s="8"/>
      <c r="H102" s="8"/>
      <c r="I102" s="8"/>
      <c r="J102" s="8"/>
      <c r="K102" s="8"/>
      <c r="L102" s="8"/>
      <c r="M102" s="8"/>
      <c r="N102" s="8"/>
      <c r="O102" s="8"/>
      <c r="P102" s="9">
        <f>IFERROR(IF(ROW()-ROW(Dados34[[#Headers],[Total]])=1,Dados34[[#This Row],[Abril]]+Dados34[[#This Row],[Fevereiro]],SUM(INDEX(Dados34[Fevereiro],1,1):Dados34[[#This Row],[Fevereiro]],INDEX(Dados34[Abril],1,1):Dados34[[#This Row],[Abril]])),"")</f>
        <v>0</v>
      </c>
    </row>
    <row r="103" spans="2:16" ht="30" customHeight="1" x14ac:dyDescent="0.4">
      <c r="B103" s="6" t="s">
        <v>24</v>
      </c>
      <c r="C103" s="6"/>
      <c r="D103" s="7"/>
      <c r="E103" s="8"/>
      <c r="F103" s="7">
        <v>79.680000000000007</v>
      </c>
      <c r="G103" s="8"/>
      <c r="H103" s="8"/>
      <c r="I103" s="8"/>
      <c r="J103" s="8"/>
      <c r="K103" s="8"/>
      <c r="L103" s="8"/>
      <c r="M103" s="8"/>
      <c r="N103" s="8"/>
      <c r="O103" s="8"/>
      <c r="P103" s="9">
        <f>IFERROR(IF(ROW()-ROW(Dados34[[#Headers],[Total]])=1,Dados34[[#This Row],[Abril]]+Dados34[[#This Row],[Fevereiro]],SUM(INDEX(Dados34[Fevereiro],1,1):Dados34[[#This Row],[Fevereiro]],INDEX(Dados34[Abril],1,1):Dados34[[#This Row],[Abril]])),"")</f>
        <v>0</v>
      </c>
    </row>
    <row r="104" spans="2:16" ht="30" customHeight="1" x14ac:dyDescent="0.4">
      <c r="B104" s="6" t="s">
        <v>25</v>
      </c>
      <c r="C104" s="6"/>
      <c r="D104" s="7"/>
      <c r="E104" s="8"/>
      <c r="F104" s="7"/>
      <c r="G104" s="8"/>
      <c r="H104" s="8"/>
      <c r="I104" s="8"/>
      <c r="J104" s="8"/>
      <c r="K104" s="8"/>
      <c r="L104" s="8"/>
      <c r="M104" s="8"/>
      <c r="N104" s="8"/>
      <c r="O104" s="8"/>
      <c r="P104" s="9">
        <f>IFERROR(IF(ROW()-ROW(Dados34[[#Headers],[Total]])=1,Dados34[[#This Row],[Abril]]+Dados34[[#This Row],[Fevereiro]],SUM(INDEX(Dados34[Fevereiro],1,1):Dados34[[#This Row],[Fevereiro]],INDEX(Dados34[Abril],1,1):Dados34[[#This Row],[Abril]])),"")</f>
        <v>0</v>
      </c>
    </row>
    <row r="105" spans="2:16" ht="30" customHeight="1" x14ac:dyDescent="0.4">
      <c r="B105" s="3" t="s">
        <v>16</v>
      </c>
      <c r="C105" s="3"/>
      <c r="D105" s="3"/>
      <c r="E105" s="10">
        <f>SUBTOTAL(109,Dados34[Fevereiro])</f>
        <v>0</v>
      </c>
      <c r="F105" s="3"/>
      <c r="G105" s="10">
        <f>SUBTOTAL(109,Dados34[Abril])</f>
        <v>0</v>
      </c>
      <c r="H105" s="10"/>
      <c r="I105" s="10"/>
      <c r="J105" s="10"/>
      <c r="K105" s="10"/>
      <c r="L105" s="10"/>
      <c r="M105" s="10"/>
      <c r="N105" s="10"/>
      <c r="O105" s="10"/>
      <c r="P105" s="3"/>
    </row>
    <row r="107" spans="2:16" ht="45" customHeight="1" x14ac:dyDescent="0.4">
      <c r="B107" s="2" t="s">
        <v>34</v>
      </c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2:16" ht="54.95" customHeight="1" x14ac:dyDescent="0.4">
      <c r="B108" s="3" t="s">
        <v>2</v>
      </c>
      <c r="C108" s="3" t="s">
        <v>3</v>
      </c>
      <c r="D108" s="4" t="s">
        <v>4</v>
      </c>
      <c r="E108" s="4" t="s">
        <v>5</v>
      </c>
      <c r="F108" s="4" t="s">
        <v>6</v>
      </c>
      <c r="G108" s="4" t="s">
        <v>7</v>
      </c>
      <c r="H108" s="4" t="s">
        <v>8</v>
      </c>
      <c r="I108" s="4" t="s">
        <v>9</v>
      </c>
      <c r="J108" s="4" t="s">
        <v>10</v>
      </c>
      <c r="K108" s="4" t="s">
        <v>11</v>
      </c>
      <c r="L108" s="4" t="s">
        <v>12</v>
      </c>
      <c r="M108" s="4" t="s">
        <v>13</v>
      </c>
      <c r="N108" s="4" t="s">
        <v>14</v>
      </c>
      <c r="O108" s="4" t="s">
        <v>15</v>
      </c>
      <c r="P108" s="5" t="s">
        <v>16</v>
      </c>
    </row>
    <row r="109" spans="2:16" ht="30" customHeight="1" x14ac:dyDescent="0.4">
      <c r="B109" s="6" t="s">
        <v>17</v>
      </c>
      <c r="C109" s="6"/>
      <c r="D109" s="7"/>
      <c r="E109" s="8"/>
      <c r="F109" s="7">
        <v>7.11</v>
      </c>
      <c r="G109" s="8"/>
      <c r="H109" s="8"/>
      <c r="I109" s="8"/>
      <c r="J109" s="8"/>
      <c r="K109" s="8"/>
      <c r="L109" s="8"/>
      <c r="M109" s="8"/>
      <c r="N109" s="8"/>
      <c r="O109" s="8"/>
      <c r="P109" s="9">
        <f>IFERROR(IF(ROW()-ROW(Dados345[[#Headers],[Total]])=1,Dados345[[#This Row],[Abril]]+Dados345[[#This Row],[Fevereiro]],SUM(INDEX(Dados345[Fevereiro],1,1):Dados345[[#This Row],[Fevereiro]],INDEX(Dados345[Abril],1,1):Dados345[[#This Row],[Abril]])), "")</f>
        <v>0</v>
      </c>
    </row>
    <row r="110" spans="2:16" ht="30" customHeight="1" x14ac:dyDescent="0.4">
      <c r="B110" s="6" t="s">
        <v>18</v>
      </c>
      <c r="C110" s="6"/>
      <c r="D110" s="7"/>
      <c r="E110" s="8"/>
      <c r="F110" s="7">
        <v>5.7</v>
      </c>
      <c r="G110" s="8"/>
      <c r="H110" s="8"/>
      <c r="I110" s="8"/>
      <c r="J110" s="8"/>
      <c r="K110" s="8"/>
      <c r="L110" s="8"/>
      <c r="M110" s="8"/>
      <c r="N110" s="8"/>
      <c r="O110" s="8"/>
      <c r="P110" s="9">
        <f>IFERROR(IF(ROW()-ROW(Dados345[[#Headers],[Total]])=1,Dados345[[#This Row],[Abril]]+Dados345[[#This Row],[Fevereiro]],SUM(INDEX(Dados345[Fevereiro],1,1):Dados345[[#This Row],[Fevereiro]],INDEX(Dados345[Abril],1,1):Dados345[[#This Row],[Abril]])),"")</f>
        <v>0</v>
      </c>
    </row>
    <row r="111" spans="2:16" ht="30" customHeight="1" x14ac:dyDescent="0.4">
      <c r="B111" s="6" t="s">
        <v>19</v>
      </c>
      <c r="C111" s="6"/>
      <c r="D111" s="7"/>
      <c r="E111" s="8"/>
      <c r="F111" s="7">
        <v>2.85</v>
      </c>
      <c r="G111" s="8"/>
      <c r="H111" s="8"/>
      <c r="I111" s="8"/>
      <c r="J111" s="8"/>
      <c r="K111" s="8"/>
      <c r="L111" s="8"/>
      <c r="M111" s="8"/>
      <c r="N111" s="8"/>
      <c r="O111" s="8"/>
      <c r="P111" s="9">
        <f>IFERROR(IF(ROW()-ROW(Dados345[[#Headers],[Total]])=1,Dados345[[#This Row],[Abril]]+Dados345[[#This Row],[Fevereiro]],SUM(INDEX(Dados345[Fevereiro],1,1):Dados345[[#This Row],[Fevereiro]],INDEX(Dados345[Abril],1,1):Dados345[[#This Row],[Abril]])),"")</f>
        <v>0</v>
      </c>
    </row>
    <row r="112" spans="2:16" ht="30" customHeight="1" x14ac:dyDescent="0.4">
      <c r="B112" s="6" t="s">
        <v>20</v>
      </c>
      <c r="C112" s="6"/>
      <c r="D112" s="7"/>
      <c r="E112" s="8"/>
      <c r="F112" s="7">
        <v>1.94</v>
      </c>
      <c r="G112" s="8"/>
      <c r="H112" s="8"/>
      <c r="I112" s="8"/>
      <c r="J112" s="8"/>
      <c r="K112" s="8"/>
      <c r="L112" s="8"/>
      <c r="M112" s="8"/>
      <c r="N112" s="8"/>
      <c r="O112" s="8"/>
      <c r="P112" s="9">
        <f>IFERROR(IF(ROW()-ROW(Dados345[[#Headers],[Total]])=1,Dados345[[#This Row],[Abril]]+Dados345[[#This Row],[Fevereiro]],SUM(INDEX(Dados345[Fevereiro],1,1):Dados345[[#This Row],[Fevereiro]],INDEX(Dados345[Abril],1,1):Dados345[[#This Row],[Abril]])),"")</f>
        <v>0</v>
      </c>
    </row>
    <row r="113" spans="2:16" ht="30" customHeight="1" x14ac:dyDescent="0.4">
      <c r="B113" s="6" t="s">
        <v>21</v>
      </c>
      <c r="C113" s="6"/>
      <c r="D113" s="7"/>
      <c r="E113" s="8"/>
      <c r="F113" s="7">
        <v>1.93</v>
      </c>
      <c r="G113" s="8"/>
      <c r="H113" s="8"/>
      <c r="I113" s="8"/>
      <c r="J113" s="8"/>
      <c r="K113" s="8"/>
      <c r="L113" s="8"/>
      <c r="M113" s="8"/>
      <c r="N113" s="8"/>
      <c r="O113" s="8"/>
      <c r="P113" s="9">
        <f>IFERROR(IF(ROW()-ROW(Dados345[[#Headers],[Total]])=1,Dados345[[#This Row],[Abril]]+Dados345[[#This Row],[Fevereiro]],SUM(INDEX(Dados345[Fevereiro],1,1):Dados345[[#This Row],[Fevereiro]],INDEX(Dados345[Abril],1,1):Dados345[[#This Row],[Abril]])),"")</f>
        <v>0</v>
      </c>
    </row>
    <row r="114" spans="2:16" ht="30" customHeight="1" x14ac:dyDescent="0.4">
      <c r="B114" s="6" t="s">
        <v>22</v>
      </c>
      <c r="C114" s="6"/>
      <c r="D114" s="7"/>
      <c r="E114" s="8"/>
      <c r="F114" s="7">
        <v>3.6</v>
      </c>
      <c r="G114" s="8"/>
      <c r="H114" s="8"/>
      <c r="I114" s="8"/>
      <c r="J114" s="8"/>
      <c r="K114" s="8"/>
      <c r="L114" s="8"/>
      <c r="M114" s="8"/>
      <c r="N114" s="8"/>
      <c r="O114" s="8"/>
      <c r="P114" s="9">
        <f>IFERROR(IF(ROW()-ROW(Dados345[[#Headers],[Total]])=1,Dados345[[#This Row],[Abril]]+Dados345[[#This Row],[Fevereiro]],SUM(INDEX(Dados345[Fevereiro],1,1):Dados345[[#This Row],[Fevereiro]],INDEX(Dados345[Abril],1,1):Dados345[[#This Row],[Abril]])),"")</f>
        <v>0</v>
      </c>
    </row>
    <row r="115" spans="2:16" ht="30" customHeight="1" x14ac:dyDescent="0.4">
      <c r="B115" s="6" t="s">
        <v>23</v>
      </c>
      <c r="C115" s="6"/>
      <c r="D115" s="7"/>
      <c r="E115" s="8"/>
      <c r="F115" s="7">
        <v>37.840000000000003</v>
      </c>
      <c r="G115" s="8"/>
      <c r="H115" s="8"/>
      <c r="I115" s="8"/>
      <c r="J115" s="8"/>
      <c r="K115" s="8"/>
      <c r="L115" s="8"/>
      <c r="M115" s="8"/>
      <c r="N115" s="8"/>
      <c r="O115" s="8"/>
      <c r="P115" s="9">
        <f>IFERROR(IF(ROW()-ROW(Dados345[[#Headers],[Total]])=1,Dados345[[#This Row],[Abril]]+Dados345[[#This Row],[Fevereiro]],SUM(INDEX(Dados345[Fevereiro],1,1):Dados345[[#This Row],[Fevereiro]],INDEX(Dados345[Abril],1,1):Dados345[[#This Row],[Abril]])),"")</f>
        <v>0</v>
      </c>
    </row>
    <row r="116" spans="2:16" ht="30" customHeight="1" x14ac:dyDescent="0.4">
      <c r="B116" s="6" t="s">
        <v>24</v>
      </c>
      <c r="C116" s="6"/>
      <c r="D116" s="7"/>
      <c r="E116" s="8"/>
      <c r="F116" s="7">
        <v>2.41</v>
      </c>
      <c r="G116" s="8"/>
      <c r="H116" s="8"/>
      <c r="I116" s="8"/>
      <c r="J116" s="8"/>
      <c r="K116" s="8"/>
      <c r="L116" s="8"/>
      <c r="M116" s="8"/>
      <c r="N116" s="8"/>
      <c r="O116" s="8"/>
      <c r="P116" s="9">
        <f>IFERROR(IF(ROW()-ROW(Dados345[[#Headers],[Total]])=1,Dados345[[#This Row],[Abril]]+Dados345[[#This Row],[Fevereiro]],SUM(INDEX(Dados345[Fevereiro],1,1):Dados345[[#This Row],[Fevereiro]],INDEX(Dados345[Abril],1,1):Dados345[[#This Row],[Abril]])),"")</f>
        <v>0</v>
      </c>
    </row>
    <row r="117" spans="2:16" ht="30" customHeight="1" x14ac:dyDescent="0.4">
      <c r="B117" s="6" t="s">
        <v>25</v>
      </c>
      <c r="C117" s="6"/>
      <c r="D117" s="7"/>
      <c r="E117" s="8"/>
      <c r="F117" s="7">
        <v>133.25</v>
      </c>
      <c r="G117" s="8"/>
      <c r="H117" s="8"/>
      <c r="I117" s="8"/>
      <c r="J117" s="8"/>
      <c r="K117" s="8"/>
      <c r="L117" s="8"/>
      <c r="M117" s="8"/>
      <c r="N117" s="8"/>
      <c r="O117" s="8"/>
      <c r="P117" s="9">
        <f>IFERROR(IF(ROW()-ROW(Dados345[[#Headers],[Total]])=1,Dados345[[#This Row],[Abril]]+Dados345[[#This Row],[Fevereiro]],SUM(INDEX(Dados345[Fevereiro],1,1):Dados345[[#This Row],[Fevereiro]],INDEX(Dados345[Abril],1,1):Dados345[[#This Row],[Abril]])),"")</f>
        <v>0</v>
      </c>
    </row>
    <row r="118" spans="2:16" ht="30" customHeight="1" x14ac:dyDescent="0.4">
      <c r="B118" s="3" t="s">
        <v>16</v>
      </c>
      <c r="C118" s="3"/>
      <c r="D118" s="3"/>
      <c r="E118" s="10"/>
      <c r="F118" s="3"/>
      <c r="G118" s="10"/>
      <c r="H118" s="10"/>
      <c r="I118" s="10"/>
      <c r="J118" s="10"/>
      <c r="K118" s="10"/>
      <c r="L118" s="10"/>
      <c r="M118" s="10"/>
      <c r="N118" s="10"/>
      <c r="O118" s="10"/>
      <c r="P118" s="3"/>
    </row>
    <row r="120" spans="2:16" ht="45" customHeight="1" x14ac:dyDescent="0.4">
      <c r="B120" s="2" t="s">
        <v>35</v>
      </c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2:16" ht="54.95" customHeight="1" x14ac:dyDescent="0.4">
      <c r="B121" s="3" t="s">
        <v>2</v>
      </c>
      <c r="C121" s="3" t="s">
        <v>3</v>
      </c>
      <c r="D121" s="4" t="s">
        <v>4</v>
      </c>
      <c r="E121" s="4" t="s">
        <v>5</v>
      </c>
      <c r="F121" s="4" t="s">
        <v>6</v>
      </c>
      <c r="G121" s="4" t="s">
        <v>7</v>
      </c>
      <c r="H121" s="4" t="s">
        <v>8</v>
      </c>
      <c r="I121" s="4" t="s">
        <v>9</v>
      </c>
      <c r="J121" s="4" t="s">
        <v>10</v>
      </c>
      <c r="K121" s="4" t="s">
        <v>11</v>
      </c>
      <c r="L121" s="4" t="s">
        <v>12</v>
      </c>
      <c r="M121" s="4" t="s">
        <v>13</v>
      </c>
      <c r="N121" s="4" t="s">
        <v>14</v>
      </c>
      <c r="O121" s="4" t="s">
        <v>15</v>
      </c>
      <c r="P121" s="5" t="s">
        <v>16</v>
      </c>
    </row>
    <row r="122" spans="2:16" ht="30" customHeight="1" x14ac:dyDescent="0.4">
      <c r="B122" s="6" t="s">
        <v>17</v>
      </c>
      <c r="C122" s="6"/>
      <c r="D122" s="7"/>
      <c r="E122" s="8"/>
      <c r="F122" s="7"/>
      <c r="G122" s="8"/>
      <c r="H122" s="8"/>
      <c r="I122" s="8"/>
      <c r="J122" s="8"/>
      <c r="K122" s="8"/>
      <c r="L122" s="8"/>
      <c r="M122" s="8"/>
      <c r="N122" s="8"/>
      <c r="O122" s="8"/>
      <c r="P122" s="9">
        <f>IFERROR(IF(ROW()-ROW(Dados3457[[#Headers],[Total]])=1,Dados3457[[#This Row],[Abril]]+Dados3457[[#This Row],[Fevereiro]],SUM(INDEX(Dados3457[Fevereiro],1,1):Dados3457[[#This Row],[Fevereiro]],INDEX(Dados3457[Abril],1,1):Dados3457[[#This Row],[Abril]])), "")</f>
        <v>0</v>
      </c>
    </row>
    <row r="123" spans="2:16" ht="30" customHeight="1" x14ac:dyDescent="0.4">
      <c r="B123" s="6" t="s">
        <v>18</v>
      </c>
      <c r="C123" s="6"/>
      <c r="D123" s="7"/>
      <c r="E123" s="8"/>
      <c r="F123" s="7" t="s">
        <v>36</v>
      </c>
      <c r="G123" s="8"/>
      <c r="H123" s="8"/>
      <c r="I123" s="8"/>
      <c r="J123" s="8"/>
      <c r="K123" s="8"/>
      <c r="L123" s="8"/>
      <c r="M123" s="8"/>
      <c r="N123" s="8"/>
      <c r="O123" s="8"/>
      <c r="P123" s="9">
        <f>IFERROR(IF(ROW()-ROW(Dados3457[[#Headers],[Total]])=1,Dados3457[[#This Row],[Abril]]+Dados3457[[#This Row],[Fevereiro]],SUM(INDEX(Dados3457[Fevereiro],1,1):Dados3457[[#This Row],[Fevereiro]],INDEX(Dados3457[Abril],1,1):Dados3457[[#This Row],[Abril]])),"")</f>
        <v>0</v>
      </c>
    </row>
    <row r="124" spans="2:16" ht="30" customHeight="1" x14ac:dyDescent="0.4">
      <c r="B124" s="6" t="s">
        <v>19</v>
      </c>
      <c r="C124" s="6"/>
      <c r="D124" s="7"/>
      <c r="E124" s="8"/>
      <c r="F124" s="7"/>
      <c r="G124" s="8"/>
      <c r="H124" s="8"/>
      <c r="I124" s="8"/>
      <c r="J124" s="8"/>
      <c r="K124" s="8"/>
      <c r="L124" s="8"/>
      <c r="M124" s="8"/>
      <c r="N124" s="8"/>
      <c r="O124" s="8"/>
      <c r="P124" s="9">
        <f>IFERROR(IF(ROW()-ROW(Dados3457[[#Headers],[Total]])=1,Dados3457[[#This Row],[Abril]]+Dados3457[[#This Row],[Fevereiro]],SUM(INDEX(Dados3457[Fevereiro],1,1):Dados3457[[#This Row],[Fevereiro]],INDEX(Dados3457[Abril],1,1):Dados3457[[#This Row],[Abril]])),"")</f>
        <v>0</v>
      </c>
    </row>
    <row r="125" spans="2:16" ht="30" customHeight="1" x14ac:dyDescent="0.4">
      <c r="B125" s="6" t="s">
        <v>20</v>
      </c>
      <c r="C125" s="6"/>
      <c r="D125" s="7"/>
      <c r="E125" s="8"/>
      <c r="F125" s="7">
        <v>13.97</v>
      </c>
      <c r="G125" s="8"/>
      <c r="H125" s="8"/>
      <c r="I125" s="8"/>
      <c r="J125" s="8"/>
      <c r="K125" s="8"/>
      <c r="L125" s="8"/>
      <c r="M125" s="8"/>
      <c r="N125" s="8"/>
      <c r="O125" s="8"/>
      <c r="P125" s="9">
        <f>IFERROR(IF(ROW()-ROW(Dados3457[[#Headers],[Total]])=1,Dados3457[[#This Row],[Abril]]+Dados3457[[#This Row],[Fevereiro]],SUM(INDEX(Dados3457[Fevereiro],1,1):Dados3457[[#This Row],[Fevereiro]],INDEX(Dados3457[Abril],1,1):Dados3457[[#This Row],[Abril]])),"")</f>
        <v>0</v>
      </c>
    </row>
    <row r="126" spans="2:16" ht="30" customHeight="1" x14ac:dyDescent="0.4">
      <c r="B126" s="6" t="s">
        <v>21</v>
      </c>
      <c r="C126" s="6"/>
      <c r="D126" s="7"/>
      <c r="E126" s="8"/>
      <c r="F126" s="7"/>
      <c r="G126" s="8"/>
      <c r="H126" s="8"/>
      <c r="I126" s="8"/>
      <c r="J126" s="8"/>
      <c r="K126" s="8"/>
      <c r="L126" s="8"/>
      <c r="M126" s="8"/>
      <c r="N126" s="8"/>
      <c r="O126" s="8"/>
      <c r="P126" s="9">
        <f>IFERROR(IF(ROW()-ROW(Dados3457[[#Headers],[Total]])=1,Dados3457[[#This Row],[Abril]]+Dados3457[[#This Row],[Fevereiro]],SUM(INDEX(Dados3457[Fevereiro],1,1):Dados3457[[#This Row],[Fevereiro]],INDEX(Dados3457[Abril],1,1):Dados3457[[#This Row],[Abril]])),"")</f>
        <v>0</v>
      </c>
    </row>
    <row r="127" spans="2:16" ht="30" customHeight="1" x14ac:dyDescent="0.4">
      <c r="B127" s="6" t="s">
        <v>22</v>
      </c>
      <c r="C127" s="6"/>
      <c r="D127" s="7"/>
      <c r="E127" s="8"/>
      <c r="F127" s="7"/>
      <c r="G127" s="8"/>
      <c r="H127" s="8"/>
      <c r="I127" s="8"/>
      <c r="J127" s="8"/>
      <c r="K127" s="8"/>
      <c r="L127" s="8"/>
      <c r="M127" s="8"/>
      <c r="N127" s="8"/>
      <c r="O127" s="8"/>
      <c r="P127" s="9">
        <f>IFERROR(IF(ROW()-ROW(Dados3457[[#Headers],[Total]])=1,Dados3457[[#This Row],[Abril]]+Dados3457[[#This Row],[Fevereiro]],SUM(INDEX(Dados3457[Fevereiro],1,1):Dados3457[[#This Row],[Fevereiro]],INDEX(Dados3457[Abril],1,1):Dados3457[[#This Row],[Abril]])),"")</f>
        <v>0</v>
      </c>
    </row>
    <row r="128" spans="2:16" ht="30" customHeight="1" x14ac:dyDescent="0.4">
      <c r="B128" s="6" t="s">
        <v>23</v>
      </c>
      <c r="C128" s="6"/>
      <c r="D128" s="7"/>
      <c r="E128" s="8"/>
      <c r="F128" s="7">
        <v>98</v>
      </c>
      <c r="G128" s="8"/>
      <c r="H128" s="8"/>
      <c r="I128" s="8"/>
      <c r="J128" s="8"/>
      <c r="K128" s="8"/>
      <c r="L128" s="8"/>
      <c r="M128" s="8"/>
      <c r="N128" s="8"/>
      <c r="O128" s="8"/>
      <c r="P128" s="9">
        <f>IFERROR(IF(ROW()-ROW(Dados3457[[#Headers],[Total]])=1,Dados3457[[#This Row],[Abril]]+Dados3457[[#This Row],[Fevereiro]],SUM(INDEX(Dados3457[Fevereiro],1,1):Dados3457[[#This Row],[Fevereiro]],INDEX(Dados3457[Abril],1,1):Dados3457[[#This Row],[Abril]])),"")</f>
        <v>0</v>
      </c>
    </row>
    <row r="129" spans="2:16" ht="30" customHeight="1" x14ac:dyDescent="0.4">
      <c r="B129" s="6" t="s">
        <v>24</v>
      </c>
      <c r="C129" s="6"/>
      <c r="D129" s="7"/>
      <c r="E129" s="8"/>
      <c r="F129" s="7"/>
      <c r="G129" s="8"/>
      <c r="H129" s="8"/>
      <c r="I129" s="8"/>
      <c r="J129" s="8"/>
      <c r="K129" s="8"/>
      <c r="L129" s="8"/>
      <c r="M129" s="8"/>
      <c r="N129" s="8"/>
      <c r="O129" s="8"/>
      <c r="P129" s="9">
        <f>IFERROR(IF(ROW()-ROW(Dados3457[[#Headers],[Total]])=1,Dados3457[[#This Row],[Abril]]+Dados3457[[#This Row],[Fevereiro]],SUM(INDEX(Dados3457[Fevereiro],1,1):Dados3457[[#This Row],[Fevereiro]],INDEX(Dados3457[Abril],1,1):Dados3457[[#This Row],[Abril]])),"")</f>
        <v>0</v>
      </c>
    </row>
    <row r="130" spans="2:16" ht="30" customHeight="1" x14ac:dyDescent="0.4">
      <c r="B130" s="6" t="s">
        <v>25</v>
      </c>
      <c r="C130" s="6"/>
      <c r="D130" s="7"/>
      <c r="E130" s="8"/>
      <c r="F130" s="7"/>
      <c r="G130" s="8"/>
      <c r="H130" s="8"/>
      <c r="I130" s="8"/>
      <c r="J130" s="8"/>
      <c r="K130" s="8"/>
      <c r="L130" s="8"/>
      <c r="M130" s="8"/>
      <c r="N130" s="8"/>
      <c r="O130" s="8"/>
      <c r="P130" s="9">
        <f>IFERROR(IF(ROW()-ROW(Dados3457[[#Headers],[Total]])=1,Dados3457[[#This Row],[Abril]]+Dados3457[[#This Row],[Fevereiro]],SUM(INDEX(Dados3457[Fevereiro],1,1):Dados3457[[#This Row],[Fevereiro]],INDEX(Dados3457[Abril],1,1):Dados3457[[#This Row],[Abril]])),"")</f>
        <v>0</v>
      </c>
    </row>
    <row r="131" spans="2:16" ht="30" customHeight="1" x14ac:dyDescent="0.4">
      <c r="B131" s="3" t="s">
        <v>16</v>
      </c>
      <c r="C131" s="3"/>
      <c r="D131" s="3"/>
      <c r="E131" s="10"/>
      <c r="F131" s="3"/>
      <c r="G131" s="10"/>
      <c r="H131" s="10"/>
      <c r="I131" s="10"/>
      <c r="J131" s="10"/>
      <c r="K131" s="10"/>
      <c r="L131" s="10"/>
      <c r="M131" s="10"/>
      <c r="N131" s="10"/>
      <c r="O131" s="10"/>
      <c r="P131" s="3"/>
    </row>
    <row r="133" spans="2:16" ht="45" customHeight="1" x14ac:dyDescent="0.4">
      <c r="B133" s="2" t="s">
        <v>37</v>
      </c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2:16" ht="54.95" customHeight="1" x14ac:dyDescent="0.4">
      <c r="B134" s="3" t="s">
        <v>2</v>
      </c>
      <c r="C134" s="3" t="s">
        <v>3</v>
      </c>
      <c r="D134" s="4" t="s">
        <v>4</v>
      </c>
      <c r="E134" s="4" t="s">
        <v>5</v>
      </c>
      <c r="F134" s="4" t="s">
        <v>6</v>
      </c>
      <c r="G134" s="4" t="s">
        <v>7</v>
      </c>
      <c r="H134" s="4" t="s">
        <v>8</v>
      </c>
      <c r="I134" s="4" t="s">
        <v>9</v>
      </c>
      <c r="J134" s="4" t="s">
        <v>10</v>
      </c>
      <c r="K134" s="4" t="s">
        <v>11</v>
      </c>
      <c r="L134" s="4" t="s">
        <v>12</v>
      </c>
      <c r="M134" s="4" t="s">
        <v>13</v>
      </c>
      <c r="N134" s="4" t="s">
        <v>14</v>
      </c>
      <c r="O134" s="4" t="s">
        <v>15</v>
      </c>
      <c r="P134" s="5" t="s">
        <v>16</v>
      </c>
    </row>
    <row r="135" spans="2:16" ht="30" customHeight="1" x14ac:dyDescent="0.4">
      <c r="B135" s="6" t="s">
        <v>17</v>
      </c>
      <c r="C135" s="6"/>
      <c r="D135" s="7"/>
      <c r="E135" s="8"/>
      <c r="F135" s="7"/>
      <c r="G135" s="8"/>
      <c r="H135" s="8"/>
      <c r="I135" s="8"/>
      <c r="J135" s="8"/>
      <c r="K135" s="8"/>
      <c r="L135" s="8"/>
      <c r="M135" s="8"/>
      <c r="N135" s="8"/>
      <c r="O135" s="8"/>
      <c r="P135" s="9">
        <f>IFERROR(IF(ROW()-ROW(Dados34578[[#Headers],[Total]])=1,Dados34578[[#This Row],[Abril]]+Dados34578[[#This Row],[Fevereiro]],SUM(INDEX(Dados34578[Fevereiro],1,1):Dados34578[[#This Row],[Fevereiro]],INDEX(Dados34578[Abril],1,1):Dados34578[[#This Row],[Abril]])), "")</f>
        <v>0</v>
      </c>
    </row>
    <row r="136" spans="2:16" ht="30" customHeight="1" x14ac:dyDescent="0.4">
      <c r="B136" s="6" t="s">
        <v>18</v>
      </c>
      <c r="C136" s="6"/>
      <c r="D136" s="7"/>
      <c r="E136" s="8"/>
      <c r="F136" s="7">
        <v>137.5</v>
      </c>
      <c r="G136" s="8"/>
      <c r="H136" s="8"/>
      <c r="I136" s="8"/>
      <c r="J136" s="8"/>
      <c r="K136" s="8"/>
      <c r="L136" s="8"/>
      <c r="M136" s="8"/>
      <c r="N136" s="8"/>
      <c r="O136" s="8"/>
      <c r="P136" s="9">
        <f>IFERROR(IF(ROW()-ROW(Dados34578[[#Headers],[Total]])=1,Dados34578[[#This Row],[Abril]]+Dados34578[[#This Row],[Fevereiro]],SUM(INDEX(Dados34578[Fevereiro],1,1):Dados34578[[#This Row],[Fevereiro]],INDEX(Dados34578[Abril],1,1):Dados34578[[#This Row],[Abril]])),"")</f>
        <v>0</v>
      </c>
    </row>
    <row r="137" spans="2:16" ht="30" customHeight="1" x14ac:dyDescent="0.4">
      <c r="B137" s="6" t="s">
        <v>19</v>
      </c>
      <c r="C137" s="6"/>
      <c r="D137" s="7"/>
      <c r="E137" s="8"/>
      <c r="F137" s="7"/>
      <c r="G137" s="8"/>
      <c r="H137" s="8"/>
      <c r="I137" s="8"/>
      <c r="J137" s="8"/>
      <c r="K137" s="8"/>
      <c r="L137" s="8"/>
      <c r="M137" s="8"/>
      <c r="N137" s="8"/>
      <c r="O137" s="8"/>
      <c r="P137" s="9">
        <f>IFERROR(IF(ROW()-ROW(Dados34578[[#Headers],[Total]])=1,Dados34578[[#This Row],[Abril]]+Dados34578[[#This Row],[Fevereiro]],SUM(INDEX(Dados34578[Fevereiro],1,1):Dados34578[[#This Row],[Fevereiro]],INDEX(Dados34578[Abril],1,1):Dados34578[[#This Row],[Abril]])),"")</f>
        <v>0</v>
      </c>
    </row>
    <row r="138" spans="2:16" ht="30" customHeight="1" x14ac:dyDescent="0.4">
      <c r="B138" s="6" t="s">
        <v>20</v>
      </c>
      <c r="C138" s="6"/>
      <c r="D138" s="7"/>
      <c r="E138" s="8"/>
      <c r="F138" s="7"/>
      <c r="G138" s="8"/>
      <c r="H138" s="8"/>
      <c r="I138" s="8"/>
      <c r="J138" s="8"/>
      <c r="K138" s="8"/>
      <c r="L138" s="8"/>
      <c r="M138" s="8"/>
      <c r="N138" s="8"/>
      <c r="O138" s="8"/>
      <c r="P138" s="9">
        <f>IFERROR(IF(ROW()-ROW(Dados34578[[#Headers],[Total]])=1,Dados34578[[#This Row],[Abril]]+Dados34578[[#This Row],[Fevereiro]],SUM(INDEX(Dados34578[Fevereiro],1,1):Dados34578[[#This Row],[Fevereiro]],INDEX(Dados34578[Abril],1,1):Dados34578[[#This Row],[Abril]])),"")</f>
        <v>0</v>
      </c>
    </row>
    <row r="139" spans="2:16" ht="30" customHeight="1" x14ac:dyDescent="0.4">
      <c r="B139" s="6" t="s">
        <v>21</v>
      </c>
      <c r="C139" s="6"/>
      <c r="D139" s="7"/>
      <c r="E139" s="8"/>
      <c r="F139" s="7"/>
      <c r="G139" s="8"/>
      <c r="H139" s="8"/>
      <c r="I139" s="8"/>
      <c r="J139" s="8"/>
      <c r="K139" s="8"/>
      <c r="L139" s="8"/>
      <c r="M139" s="8"/>
      <c r="N139" s="8"/>
      <c r="O139" s="8"/>
      <c r="P139" s="9">
        <f>IFERROR(IF(ROW()-ROW(Dados34578[[#Headers],[Total]])=1,Dados34578[[#This Row],[Abril]]+Dados34578[[#This Row],[Fevereiro]],SUM(INDEX(Dados34578[Fevereiro],1,1):Dados34578[[#This Row],[Fevereiro]],INDEX(Dados34578[Abril],1,1):Dados34578[[#This Row],[Abril]])),"")</f>
        <v>0</v>
      </c>
    </row>
    <row r="140" spans="2:16" ht="30" customHeight="1" x14ac:dyDescent="0.4">
      <c r="B140" s="6" t="s">
        <v>22</v>
      </c>
      <c r="C140" s="6"/>
      <c r="D140" s="7"/>
      <c r="E140" s="8"/>
      <c r="F140" s="7"/>
      <c r="G140" s="8"/>
      <c r="H140" s="8"/>
      <c r="I140" s="8"/>
      <c r="J140" s="8"/>
      <c r="K140" s="8"/>
      <c r="L140" s="8"/>
      <c r="M140" s="8"/>
      <c r="N140" s="8"/>
      <c r="O140" s="8"/>
      <c r="P140" s="9">
        <f>IFERROR(IF(ROW()-ROW(Dados34578[[#Headers],[Total]])=1,Dados34578[[#This Row],[Abril]]+Dados34578[[#This Row],[Fevereiro]],SUM(INDEX(Dados34578[Fevereiro],1,1):Dados34578[[#This Row],[Fevereiro]],INDEX(Dados34578[Abril],1,1):Dados34578[[#This Row],[Abril]])),"")</f>
        <v>0</v>
      </c>
    </row>
    <row r="141" spans="2:16" ht="30" customHeight="1" x14ac:dyDescent="0.4">
      <c r="B141" s="6" t="s">
        <v>23</v>
      </c>
      <c r="C141" s="6"/>
      <c r="D141" s="7"/>
      <c r="E141" s="8"/>
      <c r="F141" s="7">
        <v>129.9</v>
      </c>
      <c r="G141" s="8"/>
      <c r="H141" s="8"/>
      <c r="I141" s="8"/>
      <c r="J141" s="8"/>
      <c r="K141" s="8"/>
      <c r="L141" s="8"/>
      <c r="M141" s="8"/>
      <c r="N141" s="8"/>
      <c r="O141" s="8"/>
      <c r="P141" s="9">
        <f>IFERROR(IF(ROW()-ROW(Dados34578[[#Headers],[Total]])=1,Dados34578[[#This Row],[Abril]]+Dados34578[[#This Row],[Fevereiro]],SUM(INDEX(Dados34578[Fevereiro],1,1):Dados34578[[#This Row],[Fevereiro]],INDEX(Dados34578[Abril],1,1):Dados34578[[#This Row],[Abril]])),"")</f>
        <v>0</v>
      </c>
    </row>
    <row r="142" spans="2:16" ht="30" customHeight="1" x14ac:dyDescent="0.4">
      <c r="B142" s="6" t="s">
        <v>24</v>
      </c>
      <c r="C142" s="6"/>
      <c r="D142" s="7"/>
      <c r="E142" s="8"/>
      <c r="F142" s="7">
        <v>39.799999999999997</v>
      </c>
      <c r="G142" s="8"/>
      <c r="H142" s="8"/>
      <c r="I142" s="8"/>
      <c r="J142" s="8"/>
      <c r="K142" s="8"/>
      <c r="L142" s="8"/>
      <c r="M142" s="8"/>
      <c r="N142" s="8"/>
      <c r="O142" s="8"/>
      <c r="P142" s="9">
        <f>IFERROR(IF(ROW()-ROW(Dados34578[[#Headers],[Total]])=1,Dados34578[[#This Row],[Abril]]+Dados34578[[#This Row],[Fevereiro]],SUM(INDEX(Dados34578[Fevereiro],1,1):Dados34578[[#This Row],[Fevereiro]],INDEX(Dados34578[Abril],1,1):Dados34578[[#This Row],[Abril]])),"")</f>
        <v>0</v>
      </c>
    </row>
    <row r="143" spans="2:16" ht="30" customHeight="1" x14ac:dyDescent="0.4">
      <c r="B143" s="6" t="s">
        <v>25</v>
      </c>
      <c r="C143" s="6"/>
      <c r="D143" s="7"/>
      <c r="E143" s="8"/>
      <c r="F143" s="7">
        <v>19.899999999999999</v>
      </c>
      <c r="G143" s="8"/>
      <c r="H143" s="8"/>
      <c r="I143" s="8"/>
      <c r="J143" s="8"/>
      <c r="K143" s="8"/>
      <c r="L143" s="8"/>
      <c r="M143" s="8"/>
      <c r="N143" s="8"/>
      <c r="O143" s="8"/>
      <c r="P143" s="9">
        <f>IFERROR(IF(ROW()-ROW(Dados34578[[#Headers],[Total]])=1,Dados34578[[#This Row],[Abril]]+Dados34578[[#This Row],[Fevereiro]],SUM(INDEX(Dados34578[Fevereiro],1,1):Dados34578[[#This Row],[Fevereiro]],INDEX(Dados34578[Abril],1,1):Dados34578[[#This Row],[Abril]])),"")</f>
        <v>0</v>
      </c>
    </row>
    <row r="144" spans="2:16" ht="30" customHeight="1" x14ac:dyDescent="0.4">
      <c r="B144" s="3" t="s">
        <v>16</v>
      </c>
      <c r="C144" s="3"/>
      <c r="D144" s="3"/>
      <c r="E144" s="10"/>
      <c r="F144" s="3"/>
      <c r="G144" s="10"/>
      <c r="H144" s="10"/>
      <c r="I144" s="10"/>
      <c r="J144" s="10"/>
      <c r="K144" s="10"/>
      <c r="L144" s="10"/>
      <c r="M144" s="10"/>
      <c r="N144" s="10"/>
      <c r="O144" s="10"/>
      <c r="P144" s="3"/>
    </row>
  </sheetData>
  <dataValidations count="5">
    <dataValidation allowBlank="1" showInputMessage="1" showErrorMessage="1" prompt="Crie um registro do cartão de crédito nesta planilha" sqref="A1" xr:uid="{00000000-0002-0000-0000-000000000000}"/>
    <dataValidation allowBlank="1" showInputMessage="1" showErrorMessage="1" prompt="O título da planilha está nesta célula. Insira o nome do cartão de crédito para atualizar o título" sqref="B1:C1" xr:uid="{00000000-0002-0000-0000-000001000000}"/>
    <dataValidation allowBlank="1" showInputMessage="1" showErrorMessage="1" prompt="Insira a data na coluna sob este cabeçalho" sqref="B3:C3 B29:C29 B82:C82 B95:C95 B42:C42 B134:C134 B108:C108 B16:C16 B69:C69 B55:C55 B121:C121" xr:uid="{00000000-0002-0000-0000-000002000000}"/>
    <dataValidation allowBlank="1" showInputMessage="1" showErrorMessage="1" prompt="Insira a descrição na coluna sob este cabeçalho" sqref="D3:O3 D42:O42 D95:O95 D108:O108 D55:O55 D121:O121 D134:O134 D29:O29 D16:O16 D69:O69 D82:O82" xr:uid="{00000000-0002-0000-0000-000003000000}"/>
    <dataValidation allowBlank="1" showInputMessage="1" showErrorMessage="1" prompt="O valor do saldo sem juros é calculado automaticamente na coluna sob este cabeçalho" sqref="P3 P42 P95 P108 P55 P121 P134 P29 P16 P69 P82" xr:uid="{00000000-0002-0000-0000-000004000000}"/>
  </dataValidations>
  <printOptions horizontalCentered="1"/>
  <pageMargins left="0.40000000000000008" right="0.40000000000000008" top="0.40000000000000008" bottom="0.40000000000000008" header="0.3" footer="0.3"/>
  <pageSetup paperSize="9" scale="53" fitToHeight="0" orientation="landscape"/>
  <headerFooter differentFirst="1">
    <oddFooter>&amp;CPage &amp;P of &amp;N</oddFooter>
  </headerFooter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  <pageSetUpPr fitToPage="1"/>
  </sheetPr>
  <dimension ref="B1:P64"/>
  <sheetViews>
    <sheetView showGridLines="0" workbookViewId="0">
      <selection activeCell="O11" sqref="O11"/>
    </sheetView>
  </sheetViews>
  <sheetFormatPr defaultColWidth="8.88671875" defaultRowHeight="30" customHeight="1" x14ac:dyDescent="0.4"/>
  <cols>
    <col min="1" max="1" width="2.6640625" customWidth="1"/>
    <col min="2" max="2" width="19.109375" customWidth="1"/>
    <col min="3" max="3" width="21.88671875" customWidth="1"/>
    <col min="4" max="4" width="12.6640625" bestFit="1" customWidth="1"/>
    <col min="5" max="15" width="11.77734375" customWidth="1"/>
    <col min="16" max="16" width="17.6640625" customWidth="1"/>
    <col min="17" max="17" width="2.6640625" customWidth="1"/>
  </cols>
  <sheetData>
    <row r="1" spans="2:16" ht="60.75" customHeight="1" x14ac:dyDescent="0.4">
      <c r="B1" s="90" t="s">
        <v>0</v>
      </c>
      <c r="C1" s="90"/>
      <c r="D1" s="90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2:16" ht="30" customHeight="1" x14ac:dyDescent="0.4">
      <c r="F2" s="1" t="s">
        <v>38</v>
      </c>
      <c r="G2" s="1"/>
      <c r="H2" s="1"/>
      <c r="I2" s="1"/>
      <c r="J2" s="1"/>
      <c r="K2" s="1"/>
      <c r="L2" s="1"/>
      <c r="M2" s="1"/>
    </row>
    <row r="3" spans="2:16" ht="45" customHeight="1" x14ac:dyDescent="0.4">
      <c r="B3" s="2" t="s">
        <v>24</v>
      </c>
      <c r="C3" s="2"/>
      <c r="D3" s="3"/>
      <c r="E3" s="3"/>
      <c r="F3" s="91" t="s">
        <v>39</v>
      </c>
      <c r="G3" s="91"/>
      <c r="H3" s="91"/>
      <c r="I3" s="91"/>
      <c r="J3" s="91"/>
      <c r="K3" s="91"/>
      <c r="L3" s="91"/>
      <c r="M3" s="91"/>
      <c r="N3" s="3"/>
      <c r="O3" s="3"/>
      <c r="P3" s="3"/>
    </row>
    <row r="4" spans="2:16" ht="54.95" customHeight="1" x14ac:dyDescent="0.4">
      <c r="B4" s="4" t="s">
        <v>40</v>
      </c>
      <c r="C4" s="4" t="s">
        <v>41</v>
      </c>
      <c r="D4" s="4" t="s">
        <v>42</v>
      </c>
      <c r="F4" s="92" t="s">
        <v>2</v>
      </c>
      <c r="G4" s="93"/>
      <c r="H4" s="93"/>
      <c r="I4" s="94"/>
      <c r="J4" s="95" t="s">
        <v>43</v>
      </c>
      <c r="K4" s="96"/>
      <c r="L4" s="95" t="s">
        <v>44</v>
      </c>
      <c r="M4" s="96"/>
    </row>
    <row r="5" spans="2:16" ht="30" customHeight="1" x14ac:dyDescent="0.4">
      <c r="B5" s="6" t="s">
        <v>45</v>
      </c>
      <c r="C5" s="11">
        <v>2121.12</v>
      </c>
      <c r="D5" s="8">
        <f>Dados1331[[#This Row],[Vencimentos/Descontos]]</f>
        <v>2121.12</v>
      </c>
      <c r="F5" s="85" t="s">
        <v>24</v>
      </c>
      <c r="G5" s="86"/>
      <c r="H5" s="86"/>
      <c r="I5" s="87"/>
      <c r="J5" s="88">
        <v>3200</v>
      </c>
      <c r="K5" s="89"/>
      <c r="L5" s="88">
        <v>3800</v>
      </c>
      <c r="M5" s="89"/>
    </row>
    <row r="6" spans="2:16" ht="30" customHeight="1" x14ac:dyDescent="0.4">
      <c r="B6" s="6" t="s">
        <v>46</v>
      </c>
      <c r="C6" s="11">
        <v>878.88</v>
      </c>
      <c r="D6" s="8">
        <f>Dados1331[[#This Row],[Vencimentos/Descontos]]+D5</f>
        <v>3000</v>
      </c>
      <c r="F6" s="85" t="s">
        <v>47</v>
      </c>
      <c r="G6" s="86"/>
      <c r="H6" s="86"/>
      <c r="I6" s="87"/>
      <c r="J6" s="88">
        <v>2600</v>
      </c>
      <c r="K6" s="89"/>
      <c r="L6" s="88">
        <v>2600</v>
      </c>
      <c r="M6" s="89"/>
    </row>
    <row r="7" spans="2:16" ht="30" customHeight="1" x14ac:dyDescent="0.4">
      <c r="B7" s="6" t="s">
        <v>48</v>
      </c>
      <c r="C7" s="11">
        <v>200</v>
      </c>
      <c r="D7" s="8">
        <f>Dados1331[[#This Row],[Vencimentos/Descontos]]+D6</f>
        <v>3200</v>
      </c>
      <c r="F7" s="85" t="s">
        <v>21</v>
      </c>
      <c r="G7" s="86"/>
      <c r="H7" s="86"/>
      <c r="I7" s="87"/>
      <c r="J7" s="88">
        <v>2382</v>
      </c>
      <c r="K7" s="89"/>
      <c r="L7" s="88">
        <v>2382</v>
      </c>
      <c r="M7" s="89"/>
    </row>
    <row r="8" spans="2:16" ht="30" customHeight="1" x14ac:dyDescent="0.4">
      <c r="B8" s="6" t="s">
        <v>49</v>
      </c>
      <c r="C8" s="11">
        <v>600</v>
      </c>
      <c r="D8" s="8">
        <f>Dados1331[[#This Row],[Vencimentos/Descontos]]+D7</f>
        <v>3800</v>
      </c>
      <c r="F8" s="85" t="s">
        <v>23</v>
      </c>
      <c r="G8" s="86"/>
      <c r="H8" s="86"/>
      <c r="I8" s="87"/>
      <c r="J8" s="88">
        <v>2000</v>
      </c>
      <c r="K8" s="89"/>
      <c r="L8" s="88">
        <v>2000</v>
      </c>
      <c r="M8" s="89"/>
    </row>
    <row r="9" spans="2:16" ht="30" customHeight="1" x14ac:dyDescent="0.4">
      <c r="B9" s="12" t="s">
        <v>50</v>
      </c>
      <c r="C9" s="3"/>
      <c r="D9" s="13">
        <f>D8</f>
        <v>3800</v>
      </c>
      <c r="F9" s="85" t="s">
        <v>19</v>
      </c>
      <c r="G9" s="86"/>
      <c r="H9" s="86"/>
      <c r="I9" s="87"/>
      <c r="J9" s="88">
        <v>1525.65</v>
      </c>
      <c r="K9" s="89"/>
      <c r="L9" s="88">
        <v>1825.65</v>
      </c>
      <c r="M9" s="89"/>
    </row>
    <row r="10" spans="2:16" ht="30" customHeight="1" x14ac:dyDescent="0.4">
      <c r="F10" s="85" t="s">
        <v>17</v>
      </c>
      <c r="G10" s="86"/>
      <c r="H10" s="86"/>
      <c r="I10" s="87"/>
      <c r="J10" s="88">
        <v>1763.75</v>
      </c>
      <c r="K10" s="89"/>
      <c r="L10" s="88">
        <v>1763.75</v>
      </c>
      <c r="M10" s="89"/>
    </row>
    <row r="11" spans="2:16" ht="45" customHeight="1" x14ac:dyDescent="0.4">
      <c r="B11" s="2" t="s">
        <v>47</v>
      </c>
      <c r="C11" s="2"/>
      <c r="D11" s="3"/>
      <c r="E11" s="3"/>
      <c r="F11" s="85" t="s">
        <v>25</v>
      </c>
      <c r="G11" s="86"/>
      <c r="H11" s="86"/>
      <c r="I11" s="87"/>
      <c r="J11" s="88">
        <v>1530</v>
      </c>
      <c r="K11" s="89"/>
      <c r="L11" s="88">
        <v>1530</v>
      </c>
      <c r="M11" s="89"/>
      <c r="N11" s="3"/>
      <c r="O11" s="3"/>
      <c r="P11" s="3"/>
    </row>
    <row r="12" spans="2:16" ht="54.95" customHeight="1" x14ac:dyDescent="0.4">
      <c r="B12" s="4" t="s">
        <v>40</v>
      </c>
      <c r="C12" s="4" t="s">
        <v>41</v>
      </c>
      <c r="D12" s="4" t="s">
        <v>42</v>
      </c>
      <c r="F12" s="85" t="s">
        <v>18</v>
      </c>
      <c r="G12" s="86"/>
      <c r="H12" s="86"/>
      <c r="I12" s="87"/>
      <c r="J12" s="88">
        <v>1525.65</v>
      </c>
      <c r="K12" s="89"/>
      <c r="L12" s="88">
        <v>1525.65</v>
      </c>
      <c r="M12" s="89"/>
    </row>
    <row r="13" spans="2:16" ht="30" customHeight="1" x14ac:dyDescent="0.4">
      <c r="B13" s="6" t="s">
        <v>45</v>
      </c>
      <c r="C13" s="11">
        <v>1854</v>
      </c>
      <c r="D13" s="8">
        <f>Dados132526[[#This Row],[Vencimentos/Descontos]]</f>
        <v>1854</v>
      </c>
      <c r="F13" s="85" t="s">
        <v>51</v>
      </c>
      <c r="G13" s="86"/>
      <c r="H13" s="86"/>
      <c r="I13" s="87"/>
      <c r="J13" s="88">
        <v>1525.65</v>
      </c>
      <c r="K13" s="89"/>
      <c r="L13" s="88">
        <v>1525.65</v>
      </c>
      <c r="M13" s="89"/>
    </row>
    <row r="14" spans="2:16" ht="30" customHeight="1" x14ac:dyDescent="0.4">
      <c r="B14" s="6" t="s">
        <v>46</v>
      </c>
      <c r="C14" s="11">
        <v>646</v>
      </c>
      <c r="D14" s="8">
        <f>Dados132526[[#This Row],[Vencimentos/Descontos]]+D13</f>
        <v>2500</v>
      </c>
      <c r="F14" s="85" t="s">
        <v>50</v>
      </c>
      <c r="G14" s="86"/>
      <c r="H14" s="86"/>
      <c r="I14" s="87"/>
      <c r="J14" s="88">
        <f>SUM(J5:K13)</f>
        <v>18052.7</v>
      </c>
      <c r="K14" s="89"/>
      <c r="L14" s="88">
        <f>SUM(L5:M13)</f>
        <v>18952.7</v>
      </c>
      <c r="M14" s="89"/>
    </row>
    <row r="15" spans="2:16" ht="30" customHeight="1" x14ac:dyDescent="0.4">
      <c r="B15" s="6" t="s">
        <v>52</v>
      </c>
      <c r="C15" s="11">
        <v>100</v>
      </c>
      <c r="D15" s="8">
        <f>Dados132526[[#This Row],[Vencimentos/Descontos]]+D14</f>
        <v>2600</v>
      </c>
    </row>
    <row r="16" spans="2:16" ht="30" customHeight="1" x14ac:dyDescent="0.4">
      <c r="B16" s="12" t="s">
        <v>50</v>
      </c>
      <c r="C16" s="3"/>
      <c r="D16" s="13">
        <f>D15</f>
        <v>2600</v>
      </c>
    </row>
    <row r="18" spans="2:16" ht="45" customHeight="1" x14ac:dyDescent="0.4">
      <c r="B18" s="2" t="s">
        <v>21</v>
      </c>
      <c r="C18" s="2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2:16" ht="54.95" customHeight="1" x14ac:dyDescent="0.4">
      <c r="B19" s="4" t="s">
        <v>40</v>
      </c>
      <c r="C19" s="4" t="s">
        <v>41</v>
      </c>
      <c r="D19" s="4" t="s">
        <v>42</v>
      </c>
    </row>
    <row r="20" spans="2:16" ht="30" customHeight="1" x14ac:dyDescent="0.4">
      <c r="B20" s="6" t="s">
        <v>45</v>
      </c>
      <c r="C20" s="11">
        <v>2500</v>
      </c>
      <c r="D20" s="8">
        <f>2500</f>
        <v>2500</v>
      </c>
    </row>
    <row r="21" spans="2:16" ht="30" customHeight="1" x14ac:dyDescent="0.4">
      <c r="B21" s="6" t="s">
        <v>53</v>
      </c>
      <c r="C21" s="11">
        <v>130</v>
      </c>
      <c r="D21" s="8">
        <f>Dados13252627[[#This Row],[Vencimentos/Descontos]]+D20</f>
        <v>2630</v>
      </c>
    </row>
    <row r="22" spans="2:16" ht="30" customHeight="1" x14ac:dyDescent="0.4">
      <c r="B22" s="12" t="s">
        <v>54</v>
      </c>
      <c r="C22" s="3"/>
      <c r="D22" s="13">
        <f>D21</f>
        <v>2630</v>
      </c>
    </row>
    <row r="23" spans="2:16" ht="30" customHeight="1" x14ac:dyDescent="0.4">
      <c r="B23" s="12" t="s">
        <v>55</v>
      </c>
      <c r="C23" s="7"/>
      <c r="D23" s="7">
        <v>-248</v>
      </c>
    </row>
    <row r="24" spans="2:16" ht="30" customHeight="1" x14ac:dyDescent="0.4">
      <c r="B24" s="14" t="s">
        <v>56</v>
      </c>
      <c r="C24" s="15"/>
      <c r="D24" s="16">
        <f>Dados13252627[[#Totals],[Total (R$)]]+D23</f>
        <v>2382</v>
      </c>
    </row>
    <row r="26" spans="2:16" ht="45" customHeight="1" x14ac:dyDescent="0.4">
      <c r="B26" s="2" t="s">
        <v>23</v>
      </c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2:16" ht="54.95" customHeight="1" x14ac:dyDescent="0.4">
      <c r="B27" s="4" t="s">
        <v>40</v>
      </c>
      <c r="C27" s="4" t="s">
        <v>41</v>
      </c>
      <c r="D27" s="4" t="s">
        <v>42</v>
      </c>
    </row>
    <row r="28" spans="2:16" ht="30" customHeight="1" x14ac:dyDescent="0.4">
      <c r="B28" s="6" t="s">
        <v>45</v>
      </c>
      <c r="C28" s="11">
        <v>1604</v>
      </c>
      <c r="D28" s="8">
        <f>Dados1329[[#This Row],[Vencimentos/Descontos]]</f>
        <v>1604</v>
      </c>
    </row>
    <row r="29" spans="2:16" ht="30" customHeight="1" x14ac:dyDescent="0.4">
      <c r="B29" s="6" t="s">
        <v>46</v>
      </c>
      <c r="C29" s="11">
        <v>166</v>
      </c>
      <c r="D29" s="8">
        <f>Dados1329[[#This Row],[Vencimentos/Descontos]]+D28</f>
        <v>1770</v>
      </c>
    </row>
    <row r="30" spans="2:16" ht="30" customHeight="1" x14ac:dyDescent="0.4">
      <c r="B30" s="6" t="s">
        <v>57</v>
      </c>
      <c r="C30" s="11">
        <v>130</v>
      </c>
      <c r="D30" s="8">
        <f>Dados1329[[#This Row],[Vencimentos/Descontos]]+D29</f>
        <v>1900</v>
      </c>
    </row>
    <row r="31" spans="2:16" ht="30" customHeight="1" x14ac:dyDescent="0.4">
      <c r="B31" s="6" t="s">
        <v>52</v>
      </c>
      <c r="C31" s="11">
        <v>100</v>
      </c>
      <c r="D31" s="8">
        <f>Dados1329[[#This Row],[Vencimentos/Descontos]]+D30</f>
        <v>2000</v>
      </c>
    </row>
    <row r="32" spans="2:16" ht="30" customHeight="1" x14ac:dyDescent="0.4">
      <c r="B32" s="12" t="s">
        <v>50</v>
      </c>
      <c r="C32" s="3"/>
      <c r="D32" s="13">
        <f>D31</f>
        <v>2000</v>
      </c>
    </row>
    <row r="34" spans="2:16" ht="45" customHeight="1" x14ac:dyDescent="0.4">
      <c r="B34" s="2" t="s">
        <v>19</v>
      </c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2:16" ht="54.95" customHeight="1" x14ac:dyDescent="0.4">
      <c r="B35" s="4" t="s">
        <v>40</v>
      </c>
      <c r="C35" s="4" t="s">
        <v>41</v>
      </c>
      <c r="D35" s="4" t="s">
        <v>42</v>
      </c>
    </row>
    <row r="36" spans="2:16" ht="30" customHeight="1" x14ac:dyDescent="0.4">
      <c r="B36" s="6" t="s">
        <v>45</v>
      </c>
      <c r="C36" s="11">
        <v>1395.65</v>
      </c>
      <c r="D36" s="8">
        <f>Dados1325[[#This Row],[Vencimentos/Descontos]]</f>
        <v>1395.65</v>
      </c>
    </row>
    <row r="37" spans="2:16" ht="30" customHeight="1" x14ac:dyDescent="0.4">
      <c r="B37" s="6" t="s">
        <v>53</v>
      </c>
      <c r="C37" s="11">
        <v>130</v>
      </c>
      <c r="D37" s="8">
        <f>Dados1325[[#This Row],[Vencimentos/Descontos]]+D36</f>
        <v>1525.65</v>
      </c>
    </row>
    <row r="38" spans="2:16" ht="30" customHeight="1" x14ac:dyDescent="0.4">
      <c r="B38" s="6" t="s">
        <v>58</v>
      </c>
      <c r="C38" s="11">
        <v>300</v>
      </c>
      <c r="D38" s="8">
        <f>Dados1325[[#This Row],[Vencimentos/Descontos]]+D37</f>
        <v>1825.65</v>
      </c>
    </row>
    <row r="39" spans="2:16" ht="30" customHeight="1" x14ac:dyDescent="0.4">
      <c r="B39" s="12" t="s">
        <v>50</v>
      </c>
      <c r="C39" s="3"/>
      <c r="D39" s="13">
        <f>D38</f>
        <v>1825.65</v>
      </c>
    </row>
    <row r="41" spans="2:16" ht="45" customHeight="1" x14ac:dyDescent="0.4">
      <c r="B41" s="2" t="s">
        <v>17</v>
      </c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2:16" ht="54.95" customHeight="1" x14ac:dyDescent="0.4">
      <c r="B42" s="4" t="s">
        <v>40</v>
      </c>
      <c r="C42" s="4" t="s">
        <v>41</v>
      </c>
      <c r="D42" s="4" t="s">
        <v>42</v>
      </c>
    </row>
    <row r="43" spans="2:16" ht="30" customHeight="1" x14ac:dyDescent="0.4">
      <c r="B43" s="6" t="s">
        <v>45</v>
      </c>
      <c r="C43" s="11">
        <v>1503.75</v>
      </c>
      <c r="D43" s="8">
        <f>Dados13[[#This Row],[Vencimentos/Descontos]]</f>
        <v>1503.75</v>
      </c>
    </row>
    <row r="44" spans="2:16" ht="30" customHeight="1" x14ac:dyDescent="0.4">
      <c r="B44" s="6" t="s">
        <v>48</v>
      </c>
      <c r="C44" s="11">
        <v>260</v>
      </c>
      <c r="D44" s="8">
        <f>Dados13[[#This Row],[Vencimentos/Descontos]]+D43</f>
        <v>1763.75</v>
      </c>
    </row>
    <row r="45" spans="2:16" ht="30" customHeight="1" x14ac:dyDescent="0.4">
      <c r="B45" s="6" t="s">
        <v>49</v>
      </c>
      <c r="C45" s="11">
        <v>0</v>
      </c>
      <c r="D45" s="8">
        <f>Dados13[[#This Row],[Vencimentos/Descontos]]+D44</f>
        <v>1763.75</v>
      </c>
    </row>
    <row r="46" spans="2:16" ht="30" customHeight="1" x14ac:dyDescent="0.4">
      <c r="B46" s="12" t="s">
        <v>50</v>
      </c>
      <c r="C46" s="3"/>
      <c r="D46" s="13">
        <f>D45</f>
        <v>1763.75</v>
      </c>
    </row>
    <row r="48" spans="2:16" ht="45" customHeight="1" x14ac:dyDescent="0.4">
      <c r="B48" s="2" t="s">
        <v>25</v>
      </c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2:16" ht="54.95" customHeight="1" x14ac:dyDescent="0.4">
      <c r="B49" s="4" t="s">
        <v>40</v>
      </c>
      <c r="C49" s="4" t="s">
        <v>41</v>
      </c>
      <c r="D49" s="4" t="s">
        <v>42</v>
      </c>
    </row>
    <row r="50" spans="2:16" ht="30" customHeight="1" x14ac:dyDescent="0.4">
      <c r="B50" s="6" t="s">
        <v>45</v>
      </c>
      <c r="C50" s="11">
        <v>1400</v>
      </c>
      <c r="D50" s="8">
        <f>Dados13242830[[#This Row],[Vencimentos/Descontos]]</f>
        <v>1400</v>
      </c>
    </row>
    <row r="51" spans="2:16" ht="30" customHeight="1" x14ac:dyDescent="0.4">
      <c r="B51" s="6" t="s">
        <v>57</v>
      </c>
      <c r="C51" s="11">
        <v>130</v>
      </c>
      <c r="D51" s="8">
        <f>Dados13242830[[#This Row],[Vencimentos/Descontos]]+D50</f>
        <v>1530</v>
      </c>
    </row>
    <row r="52" spans="2:16" ht="30" customHeight="1" x14ac:dyDescent="0.4">
      <c r="B52" s="12" t="s">
        <v>50</v>
      </c>
      <c r="C52" s="3"/>
      <c r="D52" s="13">
        <f>D51</f>
        <v>1530</v>
      </c>
    </row>
    <row r="54" spans="2:16" ht="45" customHeight="1" x14ac:dyDescent="0.4">
      <c r="B54" s="2" t="s">
        <v>18</v>
      </c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2:16" ht="54.95" customHeight="1" x14ac:dyDescent="0.4">
      <c r="B55" s="4" t="s">
        <v>40</v>
      </c>
      <c r="C55" s="4" t="s">
        <v>41</v>
      </c>
      <c r="D55" s="4" t="s">
        <v>42</v>
      </c>
    </row>
    <row r="56" spans="2:16" ht="30" customHeight="1" x14ac:dyDescent="0.4">
      <c r="B56" s="6" t="s">
        <v>45</v>
      </c>
      <c r="C56" s="11">
        <v>1395.65</v>
      </c>
      <c r="D56" s="8">
        <f>Dados1324[[#This Row],[Vencimentos/Descontos]]</f>
        <v>1395.65</v>
      </c>
    </row>
    <row r="57" spans="2:16" ht="30" customHeight="1" x14ac:dyDescent="0.4">
      <c r="B57" s="6" t="s">
        <v>57</v>
      </c>
      <c r="C57" s="11">
        <v>130</v>
      </c>
      <c r="D57" s="8">
        <f>Dados1324[[#This Row],[Vencimentos/Descontos]]+D56</f>
        <v>1525.65</v>
      </c>
    </row>
    <row r="58" spans="2:16" ht="30" customHeight="1" x14ac:dyDescent="0.4">
      <c r="B58" s="12" t="s">
        <v>50</v>
      </c>
      <c r="C58" s="3"/>
      <c r="D58" s="13">
        <f>D57</f>
        <v>1525.65</v>
      </c>
    </row>
    <row r="60" spans="2:16" ht="45" customHeight="1" x14ac:dyDescent="0.4">
      <c r="B60" s="2" t="s">
        <v>51</v>
      </c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2:16" ht="54.95" customHeight="1" x14ac:dyDescent="0.4">
      <c r="B61" s="4" t="s">
        <v>40</v>
      </c>
      <c r="C61" s="4" t="s">
        <v>41</v>
      </c>
      <c r="D61" s="4" t="s">
        <v>42</v>
      </c>
    </row>
    <row r="62" spans="2:16" ht="30" customHeight="1" x14ac:dyDescent="0.4">
      <c r="B62" s="6" t="s">
        <v>45</v>
      </c>
      <c r="C62" s="11">
        <v>1395.65</v>
      </c>
      <c r="D62" s="8">
        <f>Dados132428[[#This Row],[Vencimentos/Descontos]]</f>
        <v>1395.65</v>
      </c>
    </row>
    <row r="63" spans="2:16" ht="30" customHeight="1" x14ac:dyDescent="0.4">
      <c r="B63" s="6" t="s">
        <v>57</v>
      </c>
      <c r="C63" s="11">
        <v>130</v>
      </c>
      <c r="D63" s="8">
        <f>Dados132428[[#This Row],[Vencimentos/Descontos]]+D62</f>
        <v>1525.65</v>
      </c>
    </row>
    <row r="64" spans="2:16" ht="30" customHeight="1" x14ac:dyDescent="0.4">
      <c r="B64" s="12" t="s">
        <v>50</v>
      </c>
      <c r="C64" s="3"/>
      <c r="D64" s="13">
        <f>D63</f>
        <v>1525.65</v>
      </c>
    </row>
  </sheetData>
  <mergeCells count="35">
    <mergeCell ref="B1:D1"/>
    <mergeCell ref="F3:M3"/>
    <mergeCell ref="F4:I4"/>
    <mergeCell ref="J4:K4"/>
    <mergeCell ref="L4:M4"/>
    <mergeCell ref="F5:I5"/>
    <mergeCell ref="J5:K5"/>
    <mergeCell ref="L5:M5"/>
    <mergeCell ref="F6:I6"/>
    <mergeCell ref="J6:K6"/>
    <mergeCell ref="L6:M6"/>
    <mergeCell ref="F7:I7"/>
    <mergeCell ref="J7:K7"/>
    <mergeCell ref="L7:M7"/>
    <mergeCell ref="F8:I8"/>
    <mergeCell ref="J8:K8"/>
    <mergeCell ref="L8:M8"/>
    <mergeCell ref="F9:I9"/>
    <mergeCell ref="J9:K9"/>
    <mergeCell ref="L9:M9"/>
    <mergeCell ref="F10:I10"/>
    <mergeCell ref="J10:K10"/>
    <mergeCell ref="L10:M10"/>
    <mergeCell ref="F11:I11"/>
    <mergeCell ref="J11:K11"/>
    <mergeCell ref="L11:M11"/>
    <mergeCell ref="F12:I12"/>
    <mergeCell ref="J12:K12"/>
    <mergeCell ref="L12:M12"/>
    <mergeCell ref="F13:I13"/>
    <mergeCell ref="J13:K13"/>
    <mergeCell ref="L13:M13"/>
    <mergeCell ref="F14:I14"/>
    <mergeCell ref="J14:K14"/>
    <mergeCell ref="L14:M14"/>
  </mergeCells>
  <dataValidations count="4">
    <dataValidation allowBlank="1" showInputMessage="1" showErrorMessage="1" prompt="Insira a data na coluna sob este cabeçalho" sqref="B42:C42 B55:C55 B35:C35 B12:C12 B19:C19 B61:C61 B27:C27 B49:C49 B4:C4" xr:uid="{00000000-0002-0000-0100-000000000000}"/>
    <dataValidation allowBlank="1" showInputMessage="1" showErrorMessage="1" prompt="O título da planilha está nesta célula. Insira o nome do cartão de crédito para atualizar o título" sqref="B1 F2:G2" xr:uid="{00000000-0002-0000-0100-000001000000}"/>
    <dataValidation allowBlank="1" showInputMessage="1" showErrorMessage="1" prompt="Crie um registro do cartão de crédito nesta planilha" sqref="A1" xr:uid="{00000000-0002-0000-0100-000002000000}"/>
    <dataValidation allowBlank="1" showInputMessage="1" showErrorMessage="1" prompt="Insira a descrição na coluna sob este cabeçalho" sqref="D42 D55 D35 D12 D19 D61 D27 D49 D4" xr:uid="{00000000-0002-0000-0100-000003000000}"/>
  </dataValidations>
  <printOptions horizontalCentered="1"/>
  <pageMargins left="0.40000000000000008" right="0.40000000000000008" top="0.40000000000000008" bottom="0.40000000000000008" header="0.3" footer="0.3"/>
  <pageSetup paperSize="9" scale="55" fitToHeight="0" orientation="landscape"/>
  <headerFooter differentFirst="1">
    <oddFooter>&amp;CPage &amp;P of &amp;N</oddFooter>
  </headerFooter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  <pageSetUpPr fitToPage="1"/>
  </sheetPr>
  <dimension ref="B1:Q120"/>
  <sheetViews>
    <sheetView showGridLines="0" topLeftCell="A80" zoomScale="90" workbookViewId="0">
      <selection activeCell="D120" sqref="D120"/>
    </sheetView>
  </sheetViews>
  <sheetFormatPr defaultColWidth="8.88671875" defaultRowHeight="30" customHeight="1" x14ac:dyDescent="0.4"/>
  <cols>
    <col min="1" max="1" width="2.6640625" customWidth="1"/>
    <col min="2" max="2" width="29.21875" customWidth="1"/>
    <col min="3" max="3" width="22" bestFit="1" customWidth="1"/>
    <col min="4" max="4" width="9.33203125" bestFit="1" customWidth="1"/>
    <col min="5" max="5" width="12.109375" bestFit="1" customWidth="1"/>
    <col min="6" max="6" width="10.21875" bestFit="1" customWidth="1"/>
    <col min="7" max="15" width="12.109375" bestFit="1" customWidth="1"/>
    <col min="16" max="16" width="17.6640625" hidden="1" customWidth="1"/>
    <col min="17" max="17" width="2.6640625" customWidth="1"/>
  </cols>
  <sheetData>
    <row r="1" spans="2:16" ht="60.75" customHeight="1" x14ac:dyDescent="0.4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2:16" ht="45" customHeight="1" x14ac:dyDescent="0.4">
      <c r="B2" s="2" t="s">
        <v>59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54.95" customHeight="1" x14ac:dyDescent="0.4">
      <c r="B3" s="3" t="s">
        <v>2</v>
      </c>
      <c r="C3" s="3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5" t="s">
        <v>16</v>
      </c>
    </row>
    <row r="4" spans="2:16" ht="30" customHeight="1" x14ac:dyDescent="0.4">
      <c r="B4" s="6" t="s">
        <v>24</v>
      </c>
      <c r="C4" s="6"/>
      <c r="D4" s="7">
        <f>2134.18+170.92-259.19</f>
        <v>2045.9099999999999</v>
      </c>
      <c r="E4" s="8">
        <f>1497.08+170.92</f>
        <v>1668</v>
      </c>
      <c r="F4" s="7">
        <f>1899.03+174.19</f>
        <v>2073.2199999999998</v>
      </c>
      <c r="G4" s="8">
        <f>1804.5+160.31-66.7</f>
        <v>1898.11</v>
      </c>
      <c r="H4" s="8">
        <f>351.33+1029.75</f>
        <v>1381.08</v>
      </c>
      <c r="I4" s="8">
        <v>1373</v>
      </c>
      <c r="J4" s="8">
        <f>1804.5+128.24+343.25+34.32-343.25</f>
        <v>1967.06</v>
      </c>
      <c r="K4" s="8">
        <f>1742.55+160.31-1.38</f>
        <v>1901.4799999999998</v>
      </c>
      <c r="L4" s="8">
        <f>1743.8+160.31</f>
        <v>1904.11</v>
      </c>
      <c r="M4" s="8">
        <f>1742.23+160.31-1.73</f>
        <v>1900.81</v>
      </c>
      <c r="N4" s="8">
        <f>1741.92+160.31-2.07</f>
        <v>1900.16</v>
      </c>
      <c r="O4" s="8">
        <f>1743.8+160.31-31.07</f>
        <v>1873.04</v>
      </c>
      <c r="P4" s="9">
        <f>IFERROR(IF(ROW()-ROW(Dados14[[#Headers],[Total]])=1,Dados14[[#This Row],[Abril]]+Dados14[[#This Row],[Fevereiro]],SUM(INDEX(Dados14[Fevereiro],1,1):Dados14[[#This Row],[Fevereiro]],INDEX(Dados14[Abril],1,1):Dados14[[#This Row],[Abril]])), "")</f>
        <v>3566.1099999999997</v>
      </c>
    </row>
    <row r="5" spans="2:16" ht="30" customHeight="1" x14ac:dyDescent="0.4">
      <c r="B5" s="6" t="s">
        <v>47</v>
      </c>
      <c r="C5" s="6"/>
      <c r="D5" s="7">
        <v>789.38</v>
      </c>
      <c r="E5" s="8">
        <f>1800-88.55</f>
        <v>1711.45</v>
      </c>
      <c r="F5" s="7">
        <f>1800+200-70.2</f>
        <v>1929.8</v>
      </c>
      <c r="G5" s="8">
        <f>1800-37.47</f>
        <v>1762.53</v>
      </c>
      <c r="H5" s="8">
        <f>333+6+629.14</f>
        <v>968.14</v>
      </c>
      <c r="I5" s="8">
        <v>613.98</v>
      </c>
      <c r="J5" s="8">
        <f>960.62+159.18-65.55-94.08</f>
        <v>960.17</v>
      </c>
      <c r="K5" s="8">
        <f>900-73.16-175</f>
        <v>651.84</v>
      </c>
      <c r="L5" s="8">
        <v>1107.08</v>
      </c>
      <c r="M5" s="8">
        <f>1800-376.94</f>
        <v>1423.06</v>
      </c>
      <c r="N5" s="8">
        <f>1800+200-172.39</f>
        <v>1827.6100000000001</v>
      </c>
      <c r="O5" s="8">
        <f>1800+200-295.28</f>
        <v>1704.72</v>
      </c>
      <c r="P5" s="9">
        <f>IFERROR(IF(ROW()-ROW(Dados14[[#Headers],[Total]])=1,Dados14[[#This Row],[Abril]]+Dados14[[#This Row],[Fevereiro]],SUM(INDEX(Dados14[Fevereiro],1,1):Dados14[[#This Row],[Fevereiro]],INDEX(Dados14[Abril],1,1):Dados14[[#This Row],[Abril]])),"")</f>
        <v>7040.0899999999992</v>
      </c>
    </row>
    <row r="6" spans="2:16" ht="30" customHeight="1" x14ac:dyDescent="0.4">
      <c r="B6" s="6" t="s">
        <v>21</v>
      </c>
      <c r="C6" s="6"/>
      <c r="D6" s="7">
        <v>1600</v>
      </c>
      <c r="E6" s="8">
        <v>1600</v>
      </c>
      <c r="F6" s="7">
        <f>1800+350</f>
        <v>2150</v>
      </c>
      <c r="G6" s="8">
        <f>1800+350</f>
        <v>2150</v>
      </c>
      <c r="H6" s="8">
        <v>333</v>
      </c>
      <c r="I6" s="8"/>
      <c r="J6" s="8">
        <f>1800+350-378.95</f>
        <v>1771.05</v>
      </c>
      <c r="K6" s="8">
        <f>1800+350</f>
        <v>2150</v>
      </c>
      <c r="L6" s="8">
        <f>1800+350</f>
        <v>2150</v>
      </c>
      <c r="M6" s="8">
        <f>1800+350</f>
        <v>2150</v>
      </c>
      <c r="N6" s="8">
        <f>1800+350</f>
        <v>2150</v>
      </c>
      <c r="O6" s="8">
        <f>1800+350</f>
        <v>2150</v>
      </c>
      <c r="P6" s="9">
        <f>IFERROR(IF(ROW()-ROW(Dados14[[#Headers],[Total]])=1,Dados14[[#This Row],[Abril]]+Dados14[[#This Row],[Fevereiro]],SUM(INDEX(Dados14[Fevereiro],1,1):Dados14[[#This Row],[Fevereiro]],INDEX(Dados14[Abril],1,1):Dados14[[#This Row],[Abril]])),"")</f>
        <v>10790.09</v>
      </c>
    </row>
    <row r="7" spans="2:16" ht="30" customHeight="1" x14ac:dyDescent="0.4">
      <c r="B7" s="6" t="s">
        <v>60</v>
      </c>
      <c r="C7" s="6"/>
      <c r="D7" s="7"/>
      <c r="E7" s="8"/>
      <c r="F7" s="7"/>
      <c r="G7" s="8"/>
      <c r="H7" s="8"/>
      <c r="I7" s="8"/>
      <c r="J7" s="8"/>
      <c r="K7" s="8"/>
      <c r="L7" s="8">
        <v>666.81</v>
      </c>
      <c r="M7" s="8">
        <v>1260</v>
      </c>
      <c r="N7" s="8">
        <v>1200</v>
      </c>
      <c r="O7" s="8">
        <f>540-6.66</f>
        <v>533.34</v>
      </c>
      <c r="P7" s="9">
        <f>IFERROR(IF(ROW()-ROW(Dados14[[#Headers],[Total]])=1,Dados14[[#This Row],[Abril]]+Dados14[[#This Row],[Fevereiro]],SUM(INDEX(Dados14[Fevereiro],1,1):Dados14[[#This Row],[Fevereiro]],INDEX(Dados14[Abril],1,1):Dados14[[#This Row],[Abril]])),"")</f>
        <v>10790.09</v>
      </c>
    </row>
    <row r="8" spans="2:16" ht="30" customHeight="1" x14ac:dyDescent="0.4">
      <c r="B8" s="6" t="s">
        <v>17</v>
      </c>
      <c r="C8" s="6"/>
      <c r="D8" s="7"/>
      <c r="E8" s="8"/>
      <c r="F8" s="7"/>
      <c r="G8" s="8"/>
      <c r="H8" s="8"/>
      <c r="I8" s="8"/>
      <c r="J8" s="8"/>
      <c r="K8" s="8">
        <v>480</v>
      </c>
      <c r="L8" s="8">
        <v>1260</v>
      </c>
      <c r="M8" s="8">
        <v>1470</v>
      </c>
      <c r="N8" s="8">
        <v>1400</v>
      </c>
      <c r="O8" s="8">
        <v>1330</v>
      </c>
      <c r="P8" s="9">
        <f>IFERROR(IF(ROW()-ROW(Dados14[[#Headers],[Total]])=1,Dados14[[#This Row],[Abril]]+Dados14[[#This Row],[Fevereiro]],SUM(INDEX(Dados14[Fevereiro],1,1):Dados14[[#This Row],[Fevereiro]],INDEX(Dados14[Abril],1,1):Dados14[[#This Row],[Abril]])),"")</f>
        <v>10790.09</v>
      </c>
    </row>
    <row r="9" spans="2:16" ht="30" customHeight="1" x14ac:dyDescent="0.4">
      <c r="B9" s="6" t="s">
        <v>61</v>
      </c>
      <c r="C9" s="6"/>
      <c r="D9" s="7"/>
      <c r="E9" s="8">
        <v>327</v>
      </c>
      <c r="F9" s="7">
        <v>939.65</v>
      </c>
      <c r="G9" s="8">
        <v>1090</v>
      </c>
      <c r="H9" s="8"/>
      <c r="I9" s="8"/>
      <c r="J9" s="8">
        <f>1090+18.2</f>
        <v>1108.2</v>
      </c>
      <c r="K9" s="8">
        <f>1090-36.63</f>
        <v>1053.3699999999999</v>
      </c>
      <c r="L9" s="8">
        <f>1090-13.8</f>
        <v>1076.2</v>
      </c>
      <c r="M9" s="8">
        <f>1090-1.49-82.28</f>
        <v>1006.23</v>
      </c>
      <c r="N9" s="8">
        <f t="shared" ref="N9:N10" si="0">1090-82.42</f>
        <v>1007.58</v>
      </c>
      <c r="O9" s="8">
        <f>1090-81.43</f>
        <v>1008.5699999999999</v>
      </c>
      <c r="P9" s="9">
        <f>IFERROR(IF(ROW()-ROW(Dados14[[#Headers],[Total]])=1,Dados14[[#This Row],[Abril]]+Dados14[[#This Row],[Fevereiro]],SUM(INDEX(Dados14[Fevereiro],1,1):Dados14[[#This Row],[Fevereiro]],INDEX(Dados14[Abril],1,1):Dados14[[#This Row],[Abril]])),"")</f>
        <v>12207.09</v>
      </c>
    </row>
    <row r="10" spans="2:16" ht="30" customHeight="1" x14ac:dyDescent="0.4">
      <c r="B10" s="6" t="s">
        <v>62</v>
      </c>
      <c r="C10" s="6"/>
      <c r="D10" s="7">
        <f>1090-87.2</f>
        <v>1002.8</v>
      </c>
      <c r="E10" s="8">
        <f>1090-87.2</f>
        <v>1002.8</v>
      </c>
      <c r="F10" s="7">
        <f>1090-98.6</f>
        <v>991.4</v>
      </c>
      <c r="G10" s="8">
        <f>1090-94.49</f>
        <v>995.51</v>
      </c>
      <c r="H10" s="8">
        <f>201.65+363.4</f>
        <v>565.04999999999995</v>
      </c>
      <c r="I10" s="8">
        <v>417.91</v>
      </c>
      <c r="J10" s="8">
        <f>1090+181.7+18.17-72.05-2.03-181.7</f>
        <v>1034.0900000000001</v>
      </c>
      <c r="K10" s="8">
        <f>1090-82.42</f>
        <v>1007.58</v>
      </c>
      <c r="L10" s="8">
        <f>1090-81.91-5.6</f>
        <v>1002.49</v>
      </c>
      <c r="M10" s="8">
        <f>1090-82.42</f>
        <v>1007.58</v>
      </c>
      <c r="N10" s="8">
        <f t="shared" si="0"/>
        <v>1007.58</v>
      </c>
      <c r="O10" s="8">
        <v>1034.99</v>
      </c>
      <c r="P10" s="9">
        <f>IFERROR(IF(ROW()-ROW(Dados14[[#Headers],[Total]])=1,Dados14[[#This Row],[Abril]]+Dados14[[#This Row],[Fevereiro]],SUM(INDEX(Dados14[Fevereiro],1,1):Dados14[[#This Row],[Fevereiro]],INDEX(Dados14[Abril],1,1):Dados14[[#This Row],[Abril]])),"")</f>
        <v>14205.400000000001</v>
      </c>
    </row>
    <row r="11" spans="2:16" ht="30" customHeight="1" x14ac:dyDescent="0.4">
      <c r="B11" s="6" t="s">
        <v>63</v>
      </c>
      <c r="C11" s="6"/>
      <c r="D11" s="7"/>
      <c r="E11" s="8"/>
      <c r="F11" s="7"/>
      <c r="G11" s="8"/>
      <c r="H11" s="8"/>
      <c r="I11" s="8"/>
      <c r="J11" s="8">
        <v>290.72000000000003</v>
      </c>
      <c r="K11" s="8">
        <f>1090-65.4</f>
        <v>1024.5999999999999</v>
      </c>
      <c r="L11" s="8">
        <f>1090-65.4</f>
        <v>1024.5999999999999</v>
      </c>
      <c r="M11" s="8">
        <f>1090-11.99-81.34-65.4</f>
        <v>931.27</v>
      </c>
      <c r="N11" s="8">
        <f>1090-82.42-32.7</f>
        <v>974.88</v>
      </c>
      <c r="O11" s="8">
        <f>1090-11.49-81.38-32.7</f>
        <v>964.43</v>
      </c>
      <c r="P11" s="9">
        <f>IFERROR(IF(ROW()-ROW(Dados14[[#Headers],[Total]])=1,Dados14[[#This Row],[Abril]]+Dados14[[#This Row],[Fevereiro]],SUM(INDEX(Dados14[Fevereiro],1,1):Dados14[[#This Row],[Fevereiro]],INDEX(Dados14[Abril],1,1):Dados14[[#This Row],[Abril]])),"")</f>
        <v>14205.400000000001</v>
      </c>
    </row>
    <row r="12" spans="2:16" ht="30" customHeight="1" x14ac:dyDescent="0.4">
      <c r="B12" s="6" t="s">
        <v>64</v>
      </c>
      <c r="C12" s="6"/>
      <c r="D12" s="7"/>
      <c r="E12" s="8"/>
      <c r="F12" s="7">
        <v>823.34</v>
      </c>
      <c r="G12" s="8">
        <f>1600+300</f>
        <v>1900</v>
      </c>
      <c r="H12" s="8">
        <v>296</v>
      </c>
      <c r="I12" s="8">
        <v>791.75</v>
      </c>
      <c r="J12" s="8">
        <f>1600+300+1298.47</f>
        <v>3198.4700000000003</v>
      </c>
      <c r="K12" s="8">
        <f>1600+300+316.7+31.67-7.56-316.7</f>
        <v>1924.11</v>
      </c>
      <c r="L12" s="8">
        <f>1600+300-2.18-10.47</f>
        <v>1887.35</v>
      </c>
      <c r="M12" s="8">
        <f>1600+300-30.91</f>
        <v>1869.09</v>
      </c>
      <c r="N12" s="8">
        <f>1600+300</f>
        <v>1900</v>
      </c>
      <c r="O12" s="8">
        <f>1600+300-8.36</f>
        <v>1891.64</v>
      </c>
      <c r="P12" s="9">
        <f>IFERROR(IF(ROW()-ROW(Dados14[[#Headers],[Total]])=1,Dados14[[#This Row],[Abril]]+Dados14[[#This Row],[Fevereiro]],SUM(INDEX(Dados14[Fevereiro],1,1):Dados14[[#This Row],[Fevereiro]],INDEX(Dados14[Abril],1,1):Dados14[[#This Row],[Abril]])),"")</f>
        <v>16105.400000000001</v>
      </c>
    </row>
    <row r="13" spans="2:16" ht="30" customHeight="1" x14ac:dyDescent="0.4">
      <c r="B13" s="6" t="s">
        <v>65</v>
      </c>
      <c r="C13" s="6"/>
      <c r="D13" s="7">
        <f>1090-85.99-15.01</f>
        <v>989</v>
      </c>
      <c r="E13" s="8">
        <f>1090-87.2</f>
        <v>1002.8</v>
      </c>
      <c r="F13" s="7">
        <f>1090-97.24</f>
        <v>992.76</v>
      </c>
      <c r="G13" s="8">
        <f>1090-101.17</f>
        <v>988.83</v>
      </c>
      <c r="H13" s="8">
        <v>201.65</v>
      </c>
      <c r="I13" s="8">
        <v>581.44000000000005</v>
      </c>
      <c r="J13" s="8">
        <f>1300+672.29-86.5-20.62-216.67</f>
        <v>1648.5</v>
      </c>
      <c r="K13" s="8">
        <f>1300+181.7+21.67-99.68-18.2</f>
        <v>1385.49</v>
      </c>
      <c r="L13" s="8">
        <f>1300-99.11-24.52</f>
        <v>1176.3700000000001</v>
      </c>
      <c r="M13" s="8">
        <f>1300-101.16-1.77</f>
        <v>1197.07</v>
      </c>
      <c r="N13" s="8">
        <f>1300-101.32</f>
        <v>1198.68</v>
      </c>
      <c r="O13" s="8">
        <v>1236.1100000000001</v>
      </c>
      <c r="P13" s="9">
        <f>IFERROR(IF(ROW()-ROW(Dados14[[#Headers],[Total]])=1,Dados14[[#This Row],[Abril]]+Dados14[[#This Row],[Fevereiro]],SUM(INDEX(Dados14[Fevereiro],1,1):Dados14[[#This Row],[Fevereiro]],INDEX(Dados14[Abril],1,1):Dados14[[#This Row],[Abril]])),"")</f>
        <v>18097.030000000002</v>
      </c>
    </row>
    <row r="14" spans="2:16" ht="30" customHeight="1" x14ac:dyDescent="0.4">
      <c r="B14" s="6" t="s">
        <v>66</v>
      </c>
      <c r="C14" s="6"/>
      <c r="D14" s="7"/>
      <c r="E14" s="8"/>
      <c r="F14" s="7"/>
      <c r="G14" s="8"/>
      <c r="H14" s="8"/>
      <c r="I14" s="8"/>
      <c r="J14" s="8"/>
      <c r="K14" s="8"/>
      <c r="L14" s="8"/>
      <c r="M14" s="8"/>
      <c r="N14" s="8">
        <v>350</v>
      </c>
      <c r="O14" s="8">
        <f>1221.12-7.77</f>
        <v>1213.3499999999999</v>
      </c>
      <c r="P14" s="9">
        <f>IFERROR(IF(ROW()-ROW(Dados14[[#Headers],[Total]])=1,Dados14[[#This Row],[Abril]]+Dados14[[#This Row],[Fevereiro]],SUM(INDEX(Dados14[Fevereiro],1,1):Dados14[[#This Row],[Fevereiro]],INDEX(Dados14[Abril],1,1):Dados14[[#This Row],[Abril]])),"")</f>
        <v>18097.030000000002</v>
      </c>
    </row>
    <row r="15" spans="2:16" ht="30" customHeight="1" x14ac:dyDescent="0.4">
      <c r="B15" s="6" t="s">
        <v>67</v>
      </c>
      <c r="C15" s="6"/>
      <c r="D15" s="7">
        <f>1300-103.29-8.8</f>
        <v>1187.9100000000001</v>
      </c>
      <c r="E15" s="8">
        <f>1300-99.71-53.54</f>
        <v>1146.75</v>
      </c>
      <c r="F15" s="7">
        <f>1300-2.84</f>
        <v>1297.1600000000001</v>
      </c>
      <c r="G15" s="8">
        <v>1300</v>
      </c>
      <c r="H15" s="8">
        <v>240.5</v>
      </c>
      <c r="I15" s="8"/>
      <c r="J15" s="8">
        <f>1300-51.71-216.7</f>
        <v>1031.5899999999999</v>
      </c>
      <c r="K15" s="8">
        <f>1300-15.07</f>
        <v>1284.93</v>
      </c>
      <c r="L15" s="8"/>
      <c r="M15" s="8"/>
      <c r="N15" s="8"/>
      <c r="O15" s="8"/>
      <c r="P15" s="9">
        <f>IFERROR(IF(ROW()-ROW(Dados14[[#Headers],[Total]])=1,Dados14[[#This Row],[Abril]]+Dados14[[#This Row],[Fevereiro]],SUM(INDEX(Dados14[Fevereiro],1,1):Dados14[[#This Row],[Fevereiro]],INDEX(Dados14[Abril],1,1):Dados14[[#This Row],[Abril]])),"")</f>
        <v>20543.780000000002</v>
      </c>
    </row>
    <row r="16" spans="2:16" ht="30" customHeight="1" x14ac:dyDescent="0.4">
      <c r="B16" s="6" t="s">
        <v>68</v>
      </c>
      <c r="C16" s="6"/>
      <c r="D16" s="7">
        <f>545-43.8</f>
        <v>501.2</v>
      </c>
      <c r="E16" s="8">
        <f>545-45.8</f>
        <v>499.2</v>
      </c>
      <c r="F16" s="7">
        <f>545-46.35</f>
        <v>498.65</v>
      </c>
      <c r="G16" s="8">
        <v>144</v>
      </c>
      <c r="H16" s="8">
        <v>218.04</v>
      </c>
      <c r="I16" s="8"/>
      <c r="J16" s="8"/>
      <c r="K16" s="8"/>
      <c r="L16" s="8"/>
      <c r="M16" s="8"/>
      <c r="N16" s="8"/>
      <c r="O16" s="8"/>
      <c r="P16" s="9">
        <f>IFERROR(IF(ROW()-ROW(Dados14[[#Headers],[Total]])=1,Dados14[[#This Row],[Abril]]+Dados14[[#This Row],[Fevereiro]],SUM(INDEX(Dados14[Fevereiro],1,1):Dados14[[#This Row],[Fevereiro]],INDEX(Dados14[Abril],1,1):Dados14[[#This Row],[Abril]])),"")</f>
        <v>21186.980000000003</v>
      </c>
    </row>
    <row r="17" spans="2:17" ht="30" customHeight="1" x14ac:dyDescent="0.4">
      <c r="B17" s="6" t="s">
        <v>69</v>
      </c>
      <c r="C17" s="6"/>
      <c r="D17" s="7">
        <f>1550-2.04-123.83-60.94</f>
        <v>1363.19</v>
      </c>
      <c r="E17" s="8">
        <f>1550-167.3</f>
        <v>1382.7</v>
      </c>
      <c r="F17" s="7">
        <f>1550-180.45</f>
        <v>1369.55</v>
      </c>
      <c r="G17" s="8"/>
      <c r="H17" s="8"/>
      <c r="I17" s="8"/>
      <c r="J17" s="8"/>
      <c r="K17" s="8"/>
      <c r="L17" s="8"/>
      <c r="M17" s="8"/>
      <c r="N17" s="8"/>
      <c r="O17" s="8"/>
      <c r="P17" s="9">
        <f>IFERROR(IF(ROW()-ROW(Dados14[[#Headers],[Total]])=1,Dados14[[#This Row],[Abril]]+Dados14[[#This Row],[Fevereiro]],SUM(INDEX(Dados14[Fevereiro],1,1):Dados14[[#This Row],[Fevereiro]],INDEX(Dados14[Abril],1,1):Dados14[[#This Row],[Abril]])),"")</f>
        <v>22569.680000000004</v>
      </c>
    </row>
    <row r="18" spans="2:17" ht="30" customHeight="1" x14ac:dyDescent="0.4">
      <c r="B18" s="6" t="s">
        <v>70</v>
      </c>
      <c r="C18" s="6"/>
      <c r="D18" s="7"/>
      <c r="E18" s="8"/>
      <c r="F18" s="7"/>
      <c r="G18" s="8">
        <v>581.34</v>
      </c>
      <c r="H18" s="8"/>
      <c r="I18" s="8"/>
      <c r="J18" s="8"/>
      <c r="K18" s="8"/>
      <c r="L18" s="8"/>
      <c r="M18" s="8"/>
      <c r="N18" s="8"/>
      <c r="O18" s="8"/>
      <c r="P18" s="9">
        <f>IFERROR(IF(ROW()-ROW(Dados14[[#Headers],[Total]])=1,Dados14[[#This Row],[Abril]]+Dados14[[#This Row],[Fevereiro]],SUM(INDEX(Dados14[Fevereiro],1,1):Dados14[[#This Row],[Fevereiro]],INDEX(Dados14[Abril],1,1):Dados14[[#This Row],[Abril]])),"")</f>
        <v>23151.020000000004</v>
      </c>
    </row>
    <row r="19" spans="2:17" ht="30" customHeight="1" x14ac:dyDescent="0.4">
      <c r="B19" s="6"/>
      <c r="C19" s="6"/>
      <c r="D19" s="7"/>
      <c r="E19" s="8"/>
      <c r="F19" s="7"/>
      <c r="G19" s="8"/>
      <c r="H19" s="8"/>
      <c r="I19" s="8"/>
      <c r="J19" s="8"/>
      <c r="K19" s="8"/>
      <c r="L19" s="8"/>
      <c r="M19" s="8"/>
      <c r="N19" s="8"/>
      <c r="O19" s="8"/>
      <c r="P19" s="9">
        <f>IFERROR(IF(ROW()-ROW(Dados14[[#Headers],[Total]])=1,Dados14[[#This Row],[Abril]]+Dados14[[#This Row],[Fevereiro]],SUM(INDEX(Dados14[Fevereiro],1,1):Dados14[[#This Row],[Fevereiro]],INDEX(Dados14[Abril],1,1):Dados14[[#This Row],[Abril]])),"")</f>
        <v>23151.020000000004</v>
      </c>
    </row>
    <row r="20" spans="2:17" ht="30" customHeight="1" x14ac:dyDescent="0.4">
      <c r="B20" s="17" t="s">
        <v>16</v>
      </c>
      <c r="C20" s="17"/>
      <c r="D20" s="17">
        <f>SUBTOTAL(109,Dados14[Janeiro])</f>
        <v>9479.39</v>
      </c>
      <c r="E20" s="17">
        <f>SUBTOTAL(109,Dados14[Fevereiro])</f>
        <v>10340.700000000001</v>
      </c>
      <c r="F20" s="17">
        <f>SUBTOTAL(109,Dados14[Março])</f>
        <v>13065.529999999997</v>
      </c>
      <c r="G20" s="17">
        <f>SUBTOTAL(109,Dados14[Abril])</f>
        <v>12810.32</v>
      </c>
      <c r="H20" s="17">
        <f>SUBTOTAL(109,Dados14[Maio])</f>
        <v>4203.46</v>
      </c>
      <c r="I20" s="17">
        <f>SUBTOTAL(109,Dados14[Junho])</f>
        <v>3778.08</v>
      </c>
      <c r="J20" s="17">
        <f>SUBTOTAL(109,Dados14[Julho])</f>
        <v>13009.85</v>
      </c>
      <c r="K20" s="17">
        <f>SUBTOTAL(109,Dados14[Agosto])</f>
        <v>12863.4</v>
      </c>
      <c r="L20" s="17">
        <f>SUBTOTAL(109,Dados14[Setembro])</f>
        <v>13255.010000000002</v>
      </c>
      <c r="M20" s="17">
        <f>SUBTOTAL(109,Dados14[Outubro])</f>
        <v>14215.109999999999</v>
      </c>
      <c r="N20" s="17">
        <f>SUBTOTAL(109,Dados14[Novembro])</f>
        <v>14916.49</v>
      </c>
      <c r="O20" s="17">
        <f>SUBTOTAL(109,Dados14[Dezembro])</f>
        <v>14940.19</v>
      </c>
      <c r="P20" s="3"/>
    </row>
    <row r="21" spans="2:17" ht="30" customHeight="1" x14ac:dyDescent="0.4">
      <c r="B21" s="3"/>
      <c r="C21" s="3"/>
      <c r="D21" s="3"/>
      <c r="E21" s="10"/>
      <c r="F21" s="3"/>
      <c r="G21" s="10"/>
      <c r="H21" s="10"/>
      <c r="I21" s="10"/>
      <c r="J21" s="10"/>
      <c r="K21" s="10"/>
      <c r="L21" s="10"/>
      <c r="M21" s="10"/>
      <c r="N21" s="10"/>
      <c r="O21" s="10"/>
      <c r="P21" s="3"/>
    </row>
    <row r="22" spans="2:17" ht="45" customHeight="1" x14ac:dyDescent="0.4">
      <c r="B22" s="2" t="s">
        <v>71</v>
      </c>
      <c r="C22" s="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2:17" ht="54.95" customHeight="1" x14ac:dyDescent="0.4">
      <c r="B23" s="3" t="s">
        <v>2</v>
      </c>
      <c r="C23" s="3" t="s">
        <v>3</v>
      </c>
      <c r="D23" s="4" t="s">
        <v>4</v>
      </c>
      <c r="E23" s="4" t="s">
        <v>5</v>
      </c>
      <c r="F23" s="4" t="s">
        <v>6</v>
      </c>
      <c r="G23" s="4" t="s">
        <v>7</v>
      </c>
      <c r="H23" s="4" t="s">
        <v>8</v>
      </c>
      <c r="I23" s="4" t="s">
        <v>9</v>
      </c>
      <c r="J23" s="4" t="s">
        <v>10</v>
      </c>
      <c r="K23" s="4" t="s">
        <v>11</v>
      </c>
      <c r="L23" s="4" t="s">
        <v>12</v>
      </c>
      <c r="M23" s="4" t="s">
        <v>13</v>
      </c>
      <c r="N23" s="4" t="s">
        <v>14</v>
      </c>
      <c r="O23" s="4" t="s">
        <v>15</v>
      </c>
      <c r="P23" s="5" t="s">
        <v>16</v>
      </c>
      <c r="Q23" s="3" t="s">
        <v>72</v>
      </c>
    </row>
    <row r="24" spans="2:17" ht="30" customHeight="1" x14ac:dyDescent="0.4">
      <c r="B24" s="6" t="s">
        <v>24</v>
      </c>
      <c r="C24" s="6"/>
      <c r="D24" s="7">
        <v>55</v>
      </c>
      <c r="E24" s="8">
        <v>110</v>
      </c>
      <c r="F24" s="7">
        <v>110</v>
      </c>
      <c r="G24" s="8">
        <v>110</v>
      </c>
      <c r="H24" s="8"/>
      <c r="I24" s="8"/>
      <c r="J24" s="8">
        <v>88</v>
      </c>
      <c r="K24" s="8">
        <v>110</v>
      </c>
      <c r="L24" s="8">
        <v>110</v>
      </c>
      <c r="M24" s="8">
        <v>110</v>
      </c>
      <c r="N24" s="8">
        <v>130</v>
      </c>
      <c r="O24" s="8">
        <v>130</v>
      </c>
      <c r="P24" s="9">
        <f>IFERROR(IF(ROW()-ROW(Dados1433[[#Headers],[Total]])=1,Dados1433[[#This Row],[Abril]]+Dados1433[[#This Row],[Fevereiro]],SUM(INDEX(Dados1433[Fevereiro],1,1):Dados1433[[#This Row],[Fevereiro]],INDEX(Dados1433[Abril],1,1):Dados1433[[#This Row],[Abril]])), "")</f>
        <v>220</v>
      </c>
      <c r="Q24" s="18"/>
    </row>
    <row r="25" spans="2:17" ht="30" customHeight="1" x14ac:dyDescent="0.4">
      <c r="B25" s="6" t="s">
        <v>47</v>
      </c>
      <c r="C25" s="6"/>
      <c r="D25" s="7"/>
      <c r="E25" s="8"/>
      <c r="F25" s="7"/>
      <c r="G25" s="8"/>
      <c r="H25" s="8"/>
      <c r="I25" s="8"/>
      <c r="J25" s="8"/>
      <c r="K25" s="8"/>
      <c r="L25" s="8"/>
      <c r="M25" s="8"/>
      <c r="N25" s="8"/>
      <c r="O25" s="8"/>
      <c r="P25" s="9">
        <f>IFERROR(IF(ROW()-ROW(Dados1433[[#Headers],[Total]])=1,Dados1433[[#This Row],[Abril]]+Dados1433[[#This Row],[Fevereiro]],SUM(INDEX(Dados1433[Fevereiro],1,1):Dados1433[[#This Row],[Fevereiro]],INDEX(Dados1433[Abril],1,1):Dados1433[[#This Row],[Abril]])),"")</f>
        <v>220</v>
      </c>
      <c r="Q25" s="18"/>
    </row>
    <row r="26" spans="2:17" ht="30" customHeight="1" x14ac:dyDescent="0.4">
      <c r="B26" s="6" t="s">
        <v>21</v>
      </c>
      <c r="C26" s="6"/>
      <c r="D26" s="7">
        <v>334</v>
      </c>
      <c r="E26" s="8">
        <v>334</v>
      </c>
      <c r="F26" s="7"/>
      <c r="G26" s="8"/>
      <c r="H26" s="8"/>
      <c r="I26" s="8"/>
      <c r="J26" s="8"/>
      <c r="K26" s="8"/>
      <c r="L26" s="8"/>
      <c r="M26" s="8"/>
      <c r="N26" s="8"/>
      <c r="O26" s="8"/>
      <c r="P26" s="9">
        <f>IFERROR(IF(ROW()-ROW(Dados1433[[#Headers],[Total]])=1,Dados1433[[#This Row],[Abril]]+Dados1433[[#This Row],[Fevereiro]],SUM(INDEX(Dados1433[Fevereiro],1,1):Dados1433[[#This Row],[Fevereiro]],INDEX(Dados1433[Abril],1,1):Dados1433[[#This Row],[Abril]])),"")</f>
        <v>554</v>
      </c>
      <c r="Q26" s="18"/>
    </row>
    <row r="27" spans="2:17" ht="30" customHeight="1" x14ac:dyDescent="0.4">
      <c r="B27" s="6" t="s">
        <v>60</v>
      </c>
      <c r="C27" s="6"/>
      <c r="D27" s="7"/>
      <c r="E27" s="8"/>
      <c r="F27" s="7"/>
      <c r="G27" s="8"/>
      <c r="H27" s="8"/>
      <c r="I27" s="8"/>
      <c r="J27" s="8"/>
      <c r="K27" s="8"/>
      <c r="L27" s="8"/>
      <c r="M27" s="8"/>
      <c r="N27" s="8"/>
      <c r="O27" s="8"/>
      <c r="P27" s="9">
        <f>IFERROR(IF(ROW()-ROW(Dados1433[[#Headers],[Total]])=1,Dados1433[[#This Row],[Abril]]+Dados1433[[#This Row],[Fevereiro]],SUM(INDEX(Dados1433[Fevereiro],1,1):Dados1433[[#This Row],[Fevereiro]],INDEX(Dados1433[Abril],1,1):Dados1433[[#This Row],[Abril]])),"")</f>
        <v>554</v>
      </c>
      <c r="Q27" s="18"/>
    </row>
    <row r="28" spans="2:17" ht="30" customHeight="1" x14ac:dyDescent="0.4">
      <c r="B28" s="6" t="s">
        <v>17</v>
      </c>
      <c r="C28" s="6"/>
      <c r="D28" s="7"/>
      <c r="E28" s="8"/>
      <c r="F28" s="7"/>
      <c r="G28" s="8"/>
      <c r="H28" s="8"/>
      <c r="I28" s="8"/>
      <c r="J28" s="8"/>
      <c r="K28" s="8"/>
      <c r="L28" s="8"/>
      <c r="M28" s="8"/>
      <c r="N28" s="8"/>
      <c r="O28" s="8"/>
      <c r="P28" s="9">
        <f>IFERROR(IF(ROW()-ROW(Dados1433[[#Headers],[Total]])=1,Dados1433[[#This Row],[Abril]]+Dados1433[[#This Row],[Fevereiro]],SUM(INDEX(Dados1433[Fevereiro],1,1):Dados1433[[#This Row],[Fevereiro]],INDEX(Dados1433[Abril],1,1):Dados1433[[#This Row],[Abril]])),"")</f>
        <v>554</v>
      </c>
      <c r="Q28" s="18"/>
    </row>
    <row r="29" spans="2:17" ht="30" customHeight="1" x14ac:dyDescent="0.4">
      <c r="B29" s="6" t="s">
        <v>61</v>
      </c>
      <c r="C29" s="6"/>
      <c r="D29" s="7"/>
      <c r="E29" s="8"/>
      <c r="F29" s="7"/>
      <c r="G29" s="8"/>
      <c r="H29" s="8"/>
      <c r="I29" s="8"/>
      <c r="J29" s="8"/>
      <c r="K29" s="8"/>
      <c r="L29" s="8"/>
      <c r="M29" s="8"/>
      <c r="N29" s="8"/>
      <c r="O29" s="8"/>
      <c r="P29" s="9">
        <f>IFERROR(IF(ROW()-ROW(Dados1433[[#Headers],[Total]])=1,Dados1433[[#This Row],[Abril]]+Dados1433[[#This Row],[Fevereiro]],SUM(INDEX(Dados1433[Fevereiro],1,1):Dados1433[[#This Row],[Fevereiro]],INDEX(Dados1433[Abril],1,1):Dados1433[[#This Row],[Abril]])),"")</f>
        <v>554</v>
      </c>
      <c r="Q29" s="18"/>
    </row>
    <row r="30" spans="2:17" ht="30" customHeight="1" x14ac:dyDescent="0.4">
      <c r="B30" s="6" t="s">
        <v>62</v>
      </c>
      <c r="C30" s="6"/>
      <c r="D30" s="7"/>
      <c r="E30" s="8"/>
      <c r="F30" s="7"/>
      <c r="G30" s="8"/>
      <c r="H30" s="8"/>
      <c r="I30" s="8"/>
      <c r="J30" s="8"/>
      <c r="K30" s="8"/>
      <c r="L30" s="8"/>
      <c r="M30" s="8"/>
      <c r="N30" s="8"/>
      <c r="O30" s="8"/>
      <c r="P30" s="9">
        <f>IFERROR(IF(ROW()-ROW(Dados1433[[#Headers],[Total]])=1,Dados1433[[#This Row],[Abril]]+Dados1433[[#This Row],[Fevereiro]],SUM(INDEX(Dados1433[Fevereiro],1,1):Dados1433[[#This Row],[Fevereiro]],INDEX(Dados1433[Abril],1,1):Dados1433[[#This Row],[Abril]])),"")</f>
        <v>554</v>
      </c>
      <c r="Q30" s="18"/>
    </row>
    <row r="31" spans="2:17" ht="30" customHeight="1" x14ac:dyDescent="0.4">
      <c r="B31" s="6" t="s">
        <v>63</v>
      </c>
      <c r="C31" s="6"/>
      <c r="D31" s="7"/>
      <c r="E31" s="8"/>
      <c r="F31" s="7"/>
      <c r="G31" s="8"/>
      <c r="H31" s="8"/>
      <c r="I31" s="8"/>
      <c r="J31" s="8">
        <v>218.7</v>
      </c>
      <c r="K31" s="8">
        <v>170.1</v>
      </c>
      <c r="L31" s="8">
        <v>170.1</v>
      </c>
      <c r="M31" s="8">
        <v>170.1</v>
      </c>
      <c r="N31" s="8">
        <v>85.05</v>
      </c>
      <c r="O31" s="8">
        <v>74.7</v>
      </c>
      <c r="P31" s="9">
        <f>IFERROR(IF(ROW()-ROW(Dados1433[[#Headers],[Total]])=1,Dados1433[[#This Row],[Abril]]+Dados1433[[#This Row],[Fevereiro]],SUM(INDEX(Dados1433[Fevereiro],1,1):Dados1433[[#This Row],[Fevereiro]],INDEX(Dados1433[Abril],1,1):Dados1433[[#This Row],[Abril]])),"")</f>
        <v>554</v>
      </c>
      <c r="Q31" s="18"/>
    </row>
    <row r="32" spans="2:17" ht="30" customHeight="1" x14ac:dyDescent="0.4">
      <c r="B32" s="6" t="s">
        <v>64</v>
      </c>
      <c r="C32" s="6"/>
      <c r="D32" s="7"/>
      <c r="E32" s="8"/>
      <c r="F32" s="7"/>
      <c r="G32" s="8"/>
      <c r="H32" s="8"/>
      <c r="I32" s="8"/>
      <c r="J32" s="8"/>
      <c r="K32" s="8"/>
      <c r="L32" s="8"/>
      <c r="M32" s="8"/>
      <c r="N32" s="8"/>
      <c r="O32" s="8"/>
      <c r="P32" s="9">
        <f>IFERROR(IF(ROW()-ROW(Dados1433[[#Headers],[Total]])=1,Dados1433[[#This Row],[Abril]]+Dados1433[[#This Row],[Fevereiro]],SUM(INDEX(Dados1433[Fevereiro],1,1):Dados1433[[#This Row],[Fevereiro]],INDEX(Dados1433[Abril],1,1):Dados1433[[#This Row],[Abril]])),"")</f>
        <v>554</v>
      </c>
      <c r="Q32" s="18"/>
    </row>
    <row r="33" spans="2:17" ht="30" customHeight="1" x14ac:dyDescent="0.4">
      <c r="B33" s="6" t="s">
        <v>65</v>
      </c>
      <c r="C33" s="6"/>
      <c r="D33" s="7"/>
      <c r="E33" s="8"/>
      <c r="F33" s="7"/>
      <c r="G33" s="8"/>
      <c r="H33" s="8"/>
      <c r="I33" s="8"/>
      <c r="J33" s="8"/>
      <c r="K33" s="8"/>
      <c r="L33" s="8"/>
      <c r="M33" s="8"/>
      <c r="N33" s="8"/>
      <c r="O33" s="8"/>
      <c r="P33" s="9">
        <f>IFERROR(IF(ROW()-ROW(Dados1433[[#Headers],[Total]])=1,Dados1433[[#This Row],[Abril]]+Dados1433[[#This Row],[Fevereiro]],SUM(INDEX(Dados1433[Fevereiro],1,1):Dados1433[[#This Row],[Fevereiro]],INDEX(Dados1433[Abril],1,1):Dados1433[[#This Row],[Abril]])),"")</f>
        <v>554</v>
      </c>
      <c r="Q33" s="18"/>
    </row>
    <row r="34" spans="2:17" ht="30" customHeight="1" x14ac:dyDescent="0.4">
      <c r="B34" s="6" t="s">
        <v>66</v>
      </c>
      <c r="C34" s="6"/>
      <c r="D34" s="7"/>
      <c r="E34" s="8"/>
      <c r="F34" s="7"/>
      <c r="G34" s="8"/>
      <c r="H34" s="8"/>
      <c r="I34" s="8"/>
      <c r="J34" s="8"/>
      <c r="K34" s="8"/>
      <c r="L34" s="8"/>
      <c r="M34" s="8"/>
      <c r="N34" s="8"/>
      <c r="O34" s="8"/>
      <c r="P34" s="9">
        <f>IFERROR(IF(ROW()-ROW(Dados1433[[#Headers],[Total]])=1,Dados1433[[#This Row],[Abril]]+Dados1433[[#This Row],[Fevereiro]],SUM(INDEX(Dados1433[Fevereiro],1,1):Dados1433[[#This Row],[Fevereiro]],INDEX(Dados1433[Abril],1,1):Dados1433[[#This Row],[Abril]])),"")</f>
        <v>554</v>
      </c>
      <c r="Q34" s="18"/>
    </row>
    <row r="35" spans="2:17" ht="30" customHeight="1" x14ac:dyDescent="0.4">
      <c r="B35" s="6" t="s">
        <v>67</v>
      </c>
      <c r="C35" s="6"/>
      <c r="D35" s="7"/>
      <c r="E35" s="8"/>
      <c r="F35" s="7"/>
      <c r="G35" s="8"/>
      <c r="H35" s="8"/>
      <c r="I35" s="8"/>
      <c r="J35" s="8"/>
      <c r="K35" s="8"/>
      <c r="L35" s="8"/>
      <c r="M35" s="8"/>
      <c r="N35" s="8"/>
      <c r="O35" s="8"/>
      <c r="P35" s="9">
        <f>IFERROR(IF(ROW()-ROW(Dados1433[[#Headers],[Total]])=1,Dados1433[[#This Row],[Abril]]+Dados1433[[#This Row],[Fevereiro]],SUM(INDEX(Dados1433[Fevereiro],1,1):Dados1433[[#This Row],[Fevereiro]],INDEX(Dados1433[Abril],1,1):Dados1433[[#This Row],[Abril]])),"")</f>
        <v>554</v>
      </c>
      <c r="Q35" s="18"/>
    </row>
    <row r="36" spans="2:17" ht="30" customHeight="1" x14ac:dyDescent="0.4">
      <c r="B36" s="6" t="s">
        <v>68</v>
      </c>
      <c r="C36" s="6"/>
      <c r="D36" s="7"/>
      <c r="E36" s="8"/>
      <c r="F36" s="7"/>
      <c r="G36" s="8"/>
      <c r="H36" s="8"/>
      <c r="I36" s="8"/>
      <c r="J36" s="8"/>
      <c r="K36" s="8"/>
      <c r="L36" s="8"/>
      <c r="M36" s="8"/>
      <c r="N36" s="8"/>
      <c r="O36" s="8"/>
      <c r="P36" s="9">
        <f>IFERROR(IF(ROW()-ROW(Dados1433[[#Headers],[Total]])=1,Dados1433[[#This Row],[Abril]]+Dados1433[[#This Row],[Fevereiro]],SUM(INDEX(Dados1433[Fevereiro],1,1):Dados1433[[#This Row],[Fevereiro]],INDEX(Dados1433[Abril],1,1):Dados1433[[#This Row],[Abril]])),"")</f>
        <v>554</v>
      </c>
      <c r="Q36" s="18"/>
    </row>
    <row r="37" spans="2:17" ht="30" customHeight="1" x14ac:dyDescent="0.4">
      <c r="B37" s="6" t="s">
        <v>69</v>
      </c>
      <c r="C37" s="6"/>
      <c r="D37" s="7"/>
      <c r="E37" s="8"/>
      <c r="F37" s="7"/>
      <c r="G37" s="8"/>
      <c r="H37" s="8"/>
      <c r="I37" s="8"/>
      <c r="J37" s="8"/>
      <c r="K37" s="8"/>
      <c r="L37" s="8"/>
      <c r="M37" s="8"/>
      <c r="N37" s="8"/>
      <c r="O37" s="8"/>
      <c r="P37" s="9">
        <f>IFERROR(IF(ROW()-ROW(Dados1433[[#Headers],[Total]])=1,Dados1433[[#This Row],[Abril]]+Dados1433[[#This Row],[Fevereiro]],SUM(INDEX(Dados1433[Fevereiro],1,1):Dados1433[[#This Row],[Fevereiro]],INDEX(Dados1433[Abril],1,1):Dados1433[[#This Row],[Abril]])),"")</f>
        <v>554</v>
      </c>
      <c r="Q37" s="18"/>
    </row>
    <row r="38" spans="2:17" ht="30" customHeight="1" x14ac:dyDescent="0.4">
      <c r="B38" s="6" t="s">
        <v>70</v>
      </c>
      <c r="C38" s="6"/>
      <c r="D38" s="7"/>
      <c r="E38" s="8"/>
      <c r="F38" s="7"/>
      <c r="G38" s="8"/>
      <c r="H38" s="8"/>
      <c r="I38" s="8"/>
      <c r="J38" s="8"/>
      <c r="K38" s="8"/>
      <c r="L38" s="8"/>
      <c r="M38" s="8"/>
      <c r="N38" s="8"/>
      <c r="O38" s="8"/>
      <c r="P38" s="9">
        <f>IFERROR(IF(ROW()-ROW(Dados1433[[#Headers],[Total]])=1,Dados1433[[#This Row],[Abril]]+Dados1433[[#This Row],[Fevereiro]],SUM(INDEX(Dados1433[Fevereiro],1,1):Dados1433[[#This Row],[Fevereiro]],INDEX(Dados1433[Abril],1,1):Dados1433[[#This Row],[Abril]])),"")</f>
        <v>554</v>
      </c>
      <c r="Q38" s="18"/>
    </row>
    <row r="39" spans="2:17" ht="30" customHeight="1" x14ac:dyDescent="0.4">
      <c r="B39" s="6"/>
      <c r="C39" s="6"/>
      <c r="D39" s="7"/>
      <c r="E39" s="8"/>
      <c r="F39" s="7"/>
      <c r="G39" s="8"/>
      <c r="H39" s="8"/>
      <c r="I39" s="8"/>
      <c r="J39" s="8"/>
      <c r="K39" s="8"/>
      <c r="L39" s="8"/>
      <c r="M39" s="8"/>
      <c r="N39" s="8"/>
      <c r="O39" s="8"/>
      <c r="P39" s="9">
        <f>IFERROR(IF(ROW()-ROW(Dados1433[[#Headers],[Total]])=1,Dados1433[[#This Row],[Abril]]+Dados1433[[#This Row],[Fevereiro]],SUM(INDEX(Dados1433[Fevereiro],1,1):Dados1433[[#This Row],[Fevereiro]],INDEX(Dados1433[Abril],1,1):Dados1433[[#This Row],[Abril]])),"")</f>
        <v>554</v>
      </c>
      <c r="Q39" s="18"/>
    </row>
    <row r="40" spans="2:17" ht="30" customHeight="1" x14ac:dyDescent="0.4">
      <c r="B40" s="19" t="s">
        <v>16</v>
      </c>
      <c r="C40" s="19"/>
      <c r="D40" s="17">
        <f>SUBTOTAL(109,Dados1433[Janeiro])</f>
        <v>389</v>
      </c>
      <c r="E40" s="17">
        <f>SUBTOTAL(109,Dados1433[Fevereiro])</f>
        <v>444</v>
      </c>
      <c r="F40" s="17">
        <f>SUBTOTAL(109,Dados1433[Março])</f>
        <v>110</v>
      </c>
      <c r="G40" s="17">
        <f>SUBTOTAL(109,Dados1433[Abril])</f>
        <v>110</v>
      </c>
      <c r="H40" s="17">
        <f>SUBTOTAL(109,Dados1433[Maio])</f>
        <v>0</v>
      </c>
      <c r="I40" s="17">
        <f>SUBTOTAL(109,Dados1433[Junho])</f>
        <v>0</v>
      </c>
      <c r="J40" s="17">
        <f>SUBTOTAL(109,Dados1433[Julho])</f>
        <v>306.7</v>
      </c>
      <c r="K40" s="17">
        <f>SUBTOTAL(109,Dados1433[Agosto])</f>
        <v>280.10000000000002</v>
      </c>
      <c r="L40" s="17">
        <f>SUBTOTAL(109,Dados1433[Setembro])</f>
        <v>280.10000000000002</v>
      </c>
      <c r="M40" s="17">
        <f>SUBTOTAL(109,Dados1433[Outubro])</f>
        <v>280.10000000000002</v>
      </c>
      <c r="N40" s="17">
        <f>SUBTOTAL(109,Dados1433[Novembro])</f>
        <v>215.05</v>
      </c>
      <c r="O40" s="17">
        <f>SUBTOTAL(109,Dados1433[Dezembro])</f>
        <v>204.7</v>
      </c>
      <c r="P40" s="7">
        <f>SUBTOTAL(109,Dados1433[Total])</f>
        <v>8196</v>
      </c>
      <c r="Q40" s="20"/>
    </row>
    <row r="41" spans="2:17" ht="30" customHeight="1" x14ac:dyDescent="0.4">
      <c r="B41" s="3"/>
      <c r="C41" s="3"/>
      <c r="D41" s="3"/>
      <c r="E41" s="10"/>
      <c r="F41" s="3"/>
      <c r="G41" s="10"/>
      <c r="H41" s="10"/>
      <c r="I41" s="10"/>
      <c r="J41" s="10"/>
      <c r="K41" s="10"/>
      <c r="L41" s="10"/>
      <c r="M41" s="10"/>
      <c r="N41" s="10"/>
      <c r="O41" s="10"/>
      <c r="P41" s="3"/>
    </row>
    <row r="42" spans="2:17" ht="45" customHeight="1" x14ac:dyDescent="0.4">
      <c r="B42" s="2" t="s">
        <v>73</v>
      </c>
      <c r="C42" s="2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2:17" ht="54.95" customHeight="1" x14ac:dyDescent="0.4">
      <c r="B43" s="3" t="s">
        <v>2</v>
      </c>
      <c r="C43" s="3" t="s">
        <v>3</v>
      </c>
      <c r="D43" s="4" t="s">
        <v>4</v>
      </c>
      <c r="E43" s="4" t="s">
        <v>5</v>
      </c>
      <c r="F43" s="4" t="s">
        <v>6</v>
      </c>
      <c r="G43" s="4" t="s">
        <v>7</v>
      </c>
      <c r="H43" s="4" t="s">
        <v>8</v>
      </c>
      <c r="I43" s="4" t="s">
        <v>9</v>
      </c>
      <c r="J43" s="4" t="s">
        <v>10</v>
      </c>
      <c r="K43" s="4" t="s">
        <v>11</v>
      </c>
      <c r="L43" s="4" t="s">
        <v>12</v>
      </c>
      <c r="M43" s="4" t="s">
        <v>13</v>
      </c>
      <c r="N43" s="4" t="s">
        <v>14</v>
      </c>
      <c r="O43" s="4" t="s">
        <v>15</v>
      </c>
      <c r="P43" s="5" t="s">
        <v>16</v>
      </c>
    </row>
    <row r="44" spans="2:17" ht="30" customHeight="1" x14ac:dyDescent="0.4">
      <c r="B44" s="6" t="s">
        <v>24</v>
      </c>
      <c r="C44" s="6"/>
      <c r="D44" s="7"/>
      <c r="E44" s="8"/>
      <c r="F44" s="7"/>
      <c r="G44" s="8"/>
      <c r="H44" s="8"/>
      <c r="I44" s="8"/>
      <c r="J44" s="8"/>
      <c r="K44" s="8"/>
      <c r="L44" s="8"/>
      <c r="M44" s="8"/>
      <c r="N44" s="8"/>
      <c r="O44" s="8"/>
      <c r="P44" s="9">
        <f>IFERROR(IF(ROW()-ROW(Dados143335[[#Headers],[Total]])=1,Dados143335[[#This Row],[Abril]]+Dados143335[[#This Row],[Fevereiro]],SUM(INDEX(Dados143335[Fevereiro],1,1):Dados143335[[#This Row],[Fevereiro]],INDEX(Dados143335[Abril],1,1):Dados143335[[#This Row],[Abril]])), "")</f>
        <v>0</v>
      </c>
    </row>
    <row r="45" spans="2:17" ht="30" customHeight="1" x14ac:dyDescent="0.4">
      <c r="B45" s="6" t="s">
        <v>47</v>
      </c>
      <c r="C45" s="6"/>
      <c r="D45" s="7">
        <v>55</v>
      </c>
      <c r="E45" s="8">
        <v>110</v>
      </c>
      <c r="F45" s="7"/>
      <c r="G45" s="8"/>
      <c r="H45" s="8"/>
      <c r="I45" s="8"/>
      <c r="J45" s="8"/>
      <c r="K45" s="8"/>
      <c r="L45" s="8"/>
      <c r="M45" s="8">
        <v>200</v>
      </c>
      <c r="N45" s="8"/>
      <c r="O45" s="8"/>
      <c r="P45" s="9">
        <f>IFERROR(IF(ROW()-ROW(Dados143335[[#Headers],[Total]])=1,Dados143335[[#This Row],[Abril]]+Dados143335[[#This Row],[Fevereiro]],SUM(INDEX(Dados143335[Fevereiro],1,1):Dados143335[[#This Row],[Fevereiro]],INDEX(Dados143335[Abril],1,1):Dados143335[[#This Row],[Abril]])),"")</f>
        <v>110</v>
      </c>
    </row>
    <row r="46" spans="2:17" ht="30" customHeight="1" x14ac:dyDescent="0.4">
      <c r="B46" s="6" t="s">
        <v>21</v>
      </c>
      <c r="C46" s="6"/>
      <c r="D46" s="7"/>
      <c r="E46" s="8"/>
      <c r="F46" s="7"/>
      <c r="G46" s="8"/>
      <c r="H46" s="8"/>
      <c r="I46" s="8"/>
      <c r="J46" s="8"/>
      <c r="K46" s="8"/>
      <c r="L46" s="8"/>
      <c r="M46" s="8"/>
      <c r="N46" s="8"/>
      <c r="O46" s="8"/>
      <c r="P46" s="9">
        <f>IFERROR(IF(ROW()-ROW(Dados143335[[#Headers],[Total]])=1,Dados143335[[#This Row],[Abril]]+Dados143335[[#This Row],[Fevereiro]],SUM(INDEX(Dados143335[Fevereiro],1,1):Dados143335[[#This Row],[Fevereiro]],INDEX(Dados143335[Abril],1,1):Dados143335[[#This Row],[Abril]])),"")</f>
        <v>110</v>
      </c>
    </row>
    <row r="47" spans="2:17" ht="30" customHeight="1" x14ac:dyDescent="0.4">
      <c r="B47" s="6" t="s">
        <v>60</v>
      </c>
      <c r="C47" s="6"/>
      <c r="D47" s="7"/>
      <c r="E47" s="8"/>
      <c r="F47" s="7"/>
      <c r="G47" s="8"/>
      <c r="H47" s="8"/>
      <c r="I47" s="8"/>
      <c r="J47" s="8"/>
      <c r="K47" s="8"/>
      <c r="L47" s="8"/>
      <c r="M47" s="8"/>
      <c r="N47" s="8"/>
      <c r="O47" s="8"/>
      <c r="P47" s="9">
        <f>IFERROR(IF(ROW()-ROW(Dados143335[[#Headers],[Total]])=1,Dados143335[[#This Row],[Abril]]+Dados143335[[#This Row],[Fevereiro]],SUM(INDEX(Dados143335[Fevereiro],1,1):Dados143335[[#This Row],[Fevereiro]],INDEX(Dados143335[Abril],1,1):Dados143335[[#This Row],[Abril]])),"")</f>
        <v>110</v>
      </c>
    </row>
    <row r="48" spans="2:17" ht="30" customHeight="1" x14ac:dyDescent="0.4">
      <c r="B48" s="6" t="s">
        <v>17</v>
      </c>
      <c r="C48" s="6"/>
      <c r="D48" s="7"/>
      <c r="E48" s="8"/>
      <c r="F48" s="7"/>
      <c r="G48" s="8"/>
      <c r="H48" s="8"/>
      <c r="I48" s="8"/>
      <c r="J48" s="8"/>
      <c r="K48" s="8"/>
      <c r="L48" s="8"/>
      <c r="M48" s="8"/>
      <c r="N48" s="8"/>
      <c r="O48" s="8"/>
      <c r="P48" s="9">
        <f>IFERROR(IF(ROW()-ROW(Dados143335[[#Headers],[Total]])=1,Dados143335[[#This Row],[Abril]]+Dados143335[[#This Row],[Fevereiro]],SUM(INDEX(Dados143335[Fevereiro],1,1):Dados143335[[#This Row],[Fevereiro]],INDEX(Dados143335[Abril],1,1):Dados143335[[#This Row],[Abril]])),"")</f>
        <v>110</v>
      </c>
    </row>
    <row r="49" spans="2:17" ht="30" customHeight="1" x14ac:dyDescent="0.4">
      <c r="B49" s="6" t="s">
        <v>61</v>
      </c>
      <c r="C49" s="6"/>
      <c r="D49" s="7"/>
      <c r="E49" s="8"/>
      <c r="F49" s="7"/>
      <c r="G49" s="8"/>
      <c r="H49" s="8">
        <v>407.18</v>
      </c>
      <c r="I49" s="8">
        <v>672.29</v>
      </c>
      <c r="J49" s="8"/>
      <c r="K49" s="8"/>
      <c r="L49" s="8"/>
      <c r="M49" s="8">
        <v>110</v>
      </c>
      <c r="N49" s="8">
        <v>150</v>
      </c>
      <c r="O49" s="8">
        <v>130</v>
      </c>
      <c r="P49" s="9">
        <f>IFERROR(IF(ROW()-ROW(Dados143335[[#Headers],[Total]])=1,Dados143335[[#This Row],[Abril]]+Dados143335[[#This Row],[Fevereiro]],SUM(INDEX(Dados143335[Fevereiro],1,1):Dados143335[[#This Row],[Fevereiro]],INDEX(Dados143335[Abril],1,1):Dados143335[[#This Row],[Abril]])),"")</f>
        <v>110</v>
      </c>
    </row>
    <row r="50" spans="2:17" ht="30" customHeight="1" x14ac:dyDescent="0.4">
      <c r="B50" s="6" t="s">
        <v>62</v>
      </c>
      <c r="C50" s="6"/>
      <c r="D50" s="7">
        <v>110</v>
      </c>
      <c r="E50" s="8">
        <v>110</v>
      </c>
      <c r="F50" s="7">
        <v>110</v>
      </c>
      <c r="G50" s="8">
        <v>110</v>
      </c>
      <c r="H50" s="8"/>
      <c r="I50" s="8"/>
      <c r="J50" s="8">
        <v>88</v>
      </c>
      <c r="K50" s="8">
        <v>110</v>
      </c>
      <c r="L50" s="8">
        <v>110</v>
      </c>
      <c r="M50" s="8">
        <v>110</v>
      </c>
      <c r="N50" s="8">
        <v>150</v>
      </c>
      <c r="O50" s="8">
        <v>130</v>
      </c>
      <c r="P50" s="9">
        <f>IFERROR(IF(ROW()-ROW(Dados143335[[#Headers],[Total]])=1,Dados143335[[#This Row],[Abril]]+Dados143335[[#This Row],[Fevereiro]],SUM(INDEX(Dados143335[Fevereiro],1,1):Dados143335[[#This Row],[Fevereiro]],INDEX(Dados143335[Abril],1,1):Dados143335[[#This Row],[Abril]])),"")</f>
        <v>330</v>
      </c>
    </row>
    <row r="51" spans="2:17" ht="30" customHeight="1" x14ac:dyDescent="0.4">
      <c r="B51" s="6" t="s">
        <v>63</v>
      </c>
      <c r="C51" s="6"/>
      <c r="D51" s="7"/>
      <c r="E51" s="8"/>
      <c r="F51" s="7"/>
      <c r="G51" s="8"/>
      <c r="H51" s="8"/>
      <c r="I51" s="8"/>
      <c r="J51" s="8"/>
      <c r="K51" s="8"/>
      <c r="L51" s="8"/>
      <c r="M51" s="8">
        <v>110</v>
      </c>
      <c r="N51" s="8">
        <v>150</v>
      </c>
      <c r="O51" s="8">
        <v>130</v>
      </c>
      <c r="P51" s="9">
        <f>IFERROR(IF(ROW()-ROW(Dados143335[[#Headers],[Total]])=1,Dados143335[[#This Row],[Abril]]+Dados143335[[#This Row],[Fevereiro]],SUM(INDEX(Dados143335[Fevereiro],1,1):Dados143335[[#This Row],[Fevereiro]],INDEX(Dados143335[Abril],1,1):Dados143335[[#This Row],[Abril]])),"")</f>
        <v>330</v>
      </c>
    </row>
    <row r="52" spans="2:17" ht="30" customHeight="1" x14ac:dyDescent="0.4">
      <c r="B52" s="6" t="s">
        <v>64</v>
      </c>
      <c r="C52" s="6"/>
      <c r="D52" s="7"/>
      <c r="E52" s="8"/>
      <c r="F52" s="7"/>
      <c r="G52" s="8"/>
      <c r="H52" s="8"/>
      <c r="I52" s="8"/>
      <c r="J52" s="8"/>
      <c r="K52" s="8"/>
      <c r="L52" s="8"/>
      <c r="M52" s="8"/>
      <c r="N52" s="8"/>
      <c r="O52" s="8"/>
      <c r="P52" s="9">
        <f>IFERROR(IF(ROW()-ROW(Dados143335[[#Headers],[Total]])=1,Dados143335[[#This Row],[Abril]]+Dados143335[[#This Row],[Fevereiro]],SUM(INDEX(Dados143335[Fevereiro],1,1):Dados143335[[#This Row],[Fevereiro]],INDEX(Dados143335[Abril],1,1):Dados143335[[#This Row],[Abril]])),"")</f>
        <v>330</v>
      </c>
    </row>
    <row r="53" spans="2:17" ht="30" customHeight="1" x14ac:dyDescent="0.4">
      <c r="B53" s="6" t="s">
        <v>65</v>
      </c>
      <c r="C53" s="6"/>
      <c r="D53" s="7">
        <v>110</v>
      </c>
      <c r="E53" s="8">
        <v>110</v>
      </c>
      <c r="F53" s="7">
        <v>110</v>
      </c>
      <c r="G53" s="8">
        <v>110</v>
      </c>
      <c r="H53" s="8"/>
      <c r="I53" s="8"/>
      <c r="J53" s="8">
        <v>88</v>
      </c>
      <c r="K53" s="8">
        <v>110</v>
      </c>
      <c r="L53" s="8">
        <v>110</v>
      </c>
      <c r="M53" s="8">
        <v>110</v>
      </c>
      <c r="N53" s="8">
        <v>150</v>
      </c>
      <c r="O53" s="8">
        <v>130</v>
      </c>
      <c r="P53" s="9">
        <f>IFERROR(IF(ROW()-ROW(Dados143335[[#Headers],[Total]])=1,Dados143335[[#This Row],[Abril]]+Dados143335[[#This Row],[Fevereiro]],SUM(INDEX(Dados143335[Fevereiro],1,1):Dados143335[[#This Row],[Fevereiro]],INDEX(Dados143335[Abril],1,1):Dados143335[[#This Row],[Abril]])),"")</f>
        <v>550</v>
      </c>
    </row>
    <row r="54" spans="2:17" ht="30" customHeight="1" x14ac:dyDescent="0.4">
      <c r="B54" s="6" t="s">
        <v>66</v>
      </c>
      <c r="C54" s="6"/>
      <c r="D54" s="7"/>
      <c r="E54" s="8"/>
      <c r="F54" s="7"/>
      <c r="G54" s="8"/>
      <c r="H54" s="8"/>
      <c r="I54" s="8"/>
      <c r="J54" s="8"/>
      <c r="K54" s="8"/>
      <c r="L54" s="8"/>
      <c r="M54" s="8"/>
      <c r="N54" s="8"/>
      <c r="O54" s="8"/>
      <c r="P54" s="9">
        <f>IFERROR(IF(ROW()-ROW(Dados143335[[#Headers],[Total]])=1,Dados143335[[#This Row],[Abril]]+Dados143335[[#This Row],[Fevereiro]],SUM(INDEX(Dados143335[Fevereiro],1,1):Dados143335[[#This Row],[Fevereiro]],INDEX(Dados143335[Abril],1,1):Dados143335[[#This Row],[Abril]])),"")</f>
        <v>550</v>
      </c>
    </row>
    <row r="55" spans="2:17" ht="30" customHeight="1" x14ac:dyDescent="0.4">
      <c r="B55" s="6" t="s">
        <v>67</v>
      </c>
      <c r="C55" s="6"/>
      <c r="D55" s="7">
        <v>110</v>
      </c>
      <c r="E55" s="8">
        <v>110</v>
      </c>
      <c r="F55" s="7">
        <v>110</v>
      </c>
      <c r="G55" s="8">
        <v>110</v>
      </c>
      <c r="H55" s="8"/>
      <c r="I55" s="8"/>
      <c r="J55" s="8">
        <v>88</v>
      </c>
      <c r="K55" s="8">
        <v>110</v>
      </c>
      <c r="L55" s="8"/>
      <c r="M55" s="8"/>
      <c r="N55" s="8"/>
      <c r="O55" s="8"/>
      <c r="P55" s="9">
        <f>IFERROR(IF(ROW()-ROW(Dados143335[[#Headers],[Total]])=1,Dados143335[[#This Row],[Abril]]+Dados143335[[#This Row],[Fevereiro]],SUM(INDEX(Dados143335[Fevereiro],1,1):Dados143335[[#This Row],[Fevereiro]],INDEX(Dados143335[Abril],1,1):Dados143335[[#This Row],[Abril]])),"")</f>
        <v>770</v>
      </c>
    </row>
    <row r="56" spans="2:17" ht="30" customHeight="1" x14ac:dyDescent="0.4">
      <c r="B56" s="6" t="s">
        <v>68</v>
      </c>
      <c r="C56" s="6"/>
      <c r="D56" s="7">
        <v>55</v>
      </c>
      <c r="E56" s="8">
        <v>55</v>
      </c>
      <c r="F56" s="7">
        <v>55</v>
      </c>
      <c r="G56" s="8"/>
      <c r="H56" s="8"/>
      <c r="I56" s="8"/>
      <c r="J56" s="8"/>
      <c r="K56" s="8"/>
      <c r="L56" s="8"/>
      <c r="M56" s="8"/>
      <c r="N56" s="8"/>
      <c r="O56" s="8"/>
      <c r="P56" s="9">
        <f>IFERROR(IF(ROW()-ROW(Dados143335[[#Headers],[Total]])=1,Dados143335[[#This Row],[Abril]]+Dados143335[[#This Row],[Fevereiro]],SUM(INDEX(Dados143335[Fevereiro],1,1):Dados143335[[#This Row],[Fevereiro]],INDEX(Dados143335[Abril],1,1):Dados143335[[#This Row],[Abril]])),"")</f>
        <v>825</v>
      </c>
    </row>
    <row r="57" spans="2:17" ht="30" customHeight="1" x14ac:dyDescent="0.4">
      <c r="B57" s="6" t="s">
        <v>69</v>
      </c>
      <c r="C57" s="6"/>
      <c r="D57" s="7">
        <v>110</v>
      </c>
      <c r="E57" s="8">
        <v>110</v>
      </c>
      <c r="F57" s="7">
        <v>110</v>
      </c>
      <c r="G57" s="8"/>
      <c r="H57" s="8"/>
      <c r="I57" s="8"/>
      <c r="J57" s="8"/>
      <c r="K57" s="8"/>
      <c r="L57" s="8"/>
      <c r="M57" s="8"/>
      <c r="N57" s="8"/>
      <c r="O57" s="8"/>
      <c r="P57" s="9">
        <f>IFERROR(IF(ROW()-ROW(Dados143335[[#Headers],[Total]])=1,Dados143335[[#This Row],[Abril]]+Dados143335[[#This Row],[Fevereiro]],SUM(INDEX(Dados143335[Fevereiro],1,1):Dados143335[[#This Row],[Fevereiro]],INDEX(Dados143335[Abril],1,1):Dados143335[[#This Row],[Abril]])),"")</f>
        <v>935</v>
      </c>
    </row>
    <row r="58" spans="2:17" ht="30" customHeight="1" x14ac:dyDescent="0.4">
      <c r="B58" s="6" t="s">
        <v>70</v>
      </c>
      <c r="C58" s="6"/>
      <c r="D58" s="7"/>
      <c r="E58" s="8"/>
      <c r="F58" s="7"/>
      <c r="G58" s="8"/>
      <c r="H58" s="8"/>
      <c r="I58" s="8"/>
      <c r="J58" s="8"/>
      <c r="K58" s="8"/>
      <c r="L58" s="8"/>
      <c r="M58" s="8"/>
      <c r="N58" s="8"/>
      <c r="O58" s="8"/>
      <c r="P58" s="9">
        <f>IFERROR(IF(ROW()-ROW(Dados143335[[#Headers],[Total]])=1,Dados143335[[#This Row],[Abril]]+Dados143335[[#This Row],[Fevereiro]],SUM(INDEX(Dados143335[Fevereiro],1,1):Dados143335[[#This Row],[Fevereiro]],INDEX(Dados143335[Abril],1,1):Dados143335[[#This Row],[Abril]])),"")</f>
        <v>935</v>
      </c>
    </row>
    <row r="59" spans="2:17" ht="30" customHeight="1" x14ac:dyDescent="0.4">
      <c r="B59" s="6"/>
      <c r="C59" s="6"/>
      <c r="D59" s="7"/>
      <c r="E59" s="8"/>
      <c r="F59" s="7"/>
      <c r="G59" s="8"/>
      <c r="H59" s="8"/>
      <c r="I59" s="8"/>
      <c r="J59" s="8"/>
      <c r="K59" s="8"/>
      <c r="L59" s="8"/>
      <c r="M59" s="8"/>
      <c r="N59" s="8"/>
      <c r="O59" s="8"/>
      <c r="P59" s="9">
        <f>IFERROR(IF(ROW()-ROW(Dados143335[[#Headers],[Total]])=1,Dados143335[[#This Row],[Abril]]+Dados143335[[#This Row],[Fevereiro]],SUM(INDEX(Dados143335[Fevereiro],1,1):Dados143335[[#This Row],[Fevereiro]],INDEX(Dados143335[Abril],1,1):Dados143335[[#This Row],[Abril]])),"")</f>
        <v>935</v>
      </c>
    </row>
    <row r="60" spans="2:17" ht="30" customHeight="1" x14ac:dyDescent="0.4">
      <c r="B60" s="3" t="s">
        <v>16</v>
      </c>
      <c r="C60" s="3"/>
      <c r="D60" s="7">
        <f>SUBTOTAL(109,Dados143335[Janeiro])</f>
        <v>550</v>
      </c>
      <c r="E60" s="7">
        <f>SUBTOTAL(109,Dados143335[Fevereiro])</f>
        <v>605</v>
      </c>
      <c r="F60" s="7">
        <f>SUBTOTAL(109,Dados143335[Março])</f>
        <v>495</v>
      </c>
      <c r="G60" s="7">
        <f>SUBTOTAL(109,Dados143335[Abril])</f>
        <v>330</v>
      </c>
      <c r="H60" s="7">
        <f>SUBTOTAL(109,Dados143335[Maio])</f>
        <v>407.18</v>
      </c>
      <c r="I60" s="7">
        <f>SUBTOTAL(109,Dados143335[Junho])</f>
        <v>672.29</v>
      </c>
      <c r="J60" s="7">
        <f>SUBTOTAL(109,Dados143335[Julho])</f>
        <v>264</v>
      </c>
      <c r="K60" s="7">
        <f>SUBTOTAL(109,Dados143335[Agosto])</f>
        <v>330</v>
      </c>
      <c r="L60" s="7">
        <f>SUBTOTAL(109,Dados143335[Setembro])</f>
        <v>220</v>
      </c>
      <c r="M60" s="7">
        <f>SUBTOTAL(109,Dados143335[Outubro])</f>
        <v>640</v>
      </c>
      <c r="N60" s="7">
        <f>SUBTOTAL(109,Dados143335[Novembro])</f>
        <v>600</v>
      </c>
      <c r="O60" s="7">
        <f>SUBTOTAL(109,Dados143335[Dezembro])</f>
        <v>520</v>
      </c>
      <c r="P60" s="3"/>
    </row>
    <row r="61" spans="2:17" ht="45" customHeight="1" x14ac:dyDescent="0.4">
      <c r="B61" s="2" t="s">
        <v>74</v>
      </c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2:17" ht="54.95" customHeight="1" x14ac:dyDescent="0.4">
      <c r="B62" s="3" t="s">
        <v>2</v>
      </c>
      <c r="C62" s="3" t="s">
        <v>3</v>
      </c>
      <c r="D62" s="4" t="s">
        <v>4</v>
      </c>
      <c r="E62" s="4" t="s">
        <v>5</v>
      </c>
      <c r="F62" s="4" t="s">
        <v>6</v>
      </c>
      <c r="G62" s="4" t="s">
        <v>7</v>
      </c>
      <c r="H62" s="4" t="s">
        <v>8</v>
      </c>
      <c r="I62" s="4" t="s">
        <v>9</v>
      </c>
      <c r="J62" s="4" t="s">
        <v>10</v>
      </c>
      <c r="K62" s="4" t="s">
        <v>11</v>
      </c>
      <c r="L62" s="4" t="s">
        <v>12</v>
      </c>
      <c r="M62" s="4" t="s">
        <v>13</v>
      </c>
      <c r="N62" s="4" t="s">
        <v>14</v>
      </c>
      <c r="O62" s="4" t="s">
        <v>15</v>
      </c>
      <c r="P62" s="5" t="s">
        <v>16</v>
      </c>
      <c r="Q62" s="3" t="s">
        <v>72</v>
      </c>
    </row>
    <row r="63" spans="2:17" ht="30" customHeight="1" x14ac:dyDescent="0.4">
      <c r="B63" s="6" t="s">
        <v>24</v>
      </c>
      <c r="C63" s="6"/>
      <c r="D63" s="7">
        <v>183.79</v>
      </c>
      <c r="E63" s="8">
        <v>400.93</v>
      </c>
      <c r="F63" s="7">
        <v>476.57</v>
      </c>
      <c r="G63" s="8">
        <v>564.79999999999995</v>
      </c>
      <c r="H63" s="8">
        <v>429.39</v>
      </c>
      <c r="I63" s="8">
        <v>274.62</v>
      </c>
      <c r="J63" s="8">
        <v>465.96</v>
      </c>
      <c r="K63" s="8">
        <v>568.23</v>
      </c>
      <c r="L63" s="8">
        <v>601.45000000000005</v>
      </c>
      <c r="M63" s="8">
        <v>606.80999999999995</v>
      </c>
      <c r="N63" s="8">
        <v>463.24</v>
      </c>
      <c r="O63" s="8">
        <v>227.42</v>
      </c>
      <c r="P63" s="9">
        <f>IFERROR(IF(ROW()-ROW(Dados143336[[#Headers],[Total]])=1,Dados143336[[#This Row],[Abril]]+Dados143336[[#This Row],[Fevereiro]],SUM(INDEX(Dados143336[Fevereiro],1,1):Dados143336[[#This Row],[Fevereiro]],INDEX(Dados143336[Abril],1,1):Dados143336[[#This Row],[Abril]])), "")</f>
        <v>965.73</v>
      </c>
      <c r="Q63" s="18"/>
    </row>
    <row r="64" spans="2:17" ht="30" customHeight="1" x14ac:dyDescent="0.4">
      <c r="B64" s="6" t="s">
        <v>47</v>
      </c>
      <c r="C64" s="6"/>
      <c r="D64" s="7"/>
      <c r="E64" s="8"/>
      <c r="F64" s="7"/>
      <c r="G64" s="8"/>
      <c r="H64" s="8"/>
      <c r="I64" s="8"/>
      <c r="J64" s="8"/>
      <c r="K64" s="8"/>
      <c r="L64" s="8"/>
      <c r="M64" s="8"/>
      <c r="N64" s="8"/>
      <c r="O64" s="8"/>
      <c r="P64" s="9">
        <f>IFERROR(IF(ROW()-ROW(Dados143336[[#Headers],[Total]])=1,Dados143336[[#This Row],[Abril]]+Dados143336[[#This Row],[Fevereiro]],SUM(INDEX(Dados143336[Fevereiro],1,1):Dados143336[[#This Row],[Fevereiro]],INDEX(Dados143336[Abril],1,1):Dados143336[[#This Row],[Abril]])),"")</f>
        <v>965.73</v>
      </c>
      <c r="Q64" s="18"/>
    </row>
    <row r="65" spans="2:17" ht="30" customHeight="1" x14ac:dyDescent="0.4">
      <c r="B65" s="6" t="s">
        <v>21</v>
      </c>
      <c r="C65" s="6"/>
      <c r="D65" s="7"/>
      <c r="E65" s="8"/>
      <c r="F65" s="7"/>
      <c r="G65" s="8"/>
      <c r="H65" s="8"/>
      <c r="I65" s="8"/>
      <c r="J65" s="8"/>
      <c r="K65" s="8"/>
      <c r="L65" s="8"/>
      <c r="M65" s="8"/>
      <c r="N65" s="8"/>
      <c r="O65" s="8"/>
      <c r="P65" s="9">
        <f>IFERROR(IF(ROW()-ROW(Dados143336[[#Headers],[Total]])=1,Dados143336[[#This Row],[Abril]]+Dados143336[[#This Row],[Fevereiro]],SUM(INDEX(Dados143336[Fevereiro],1,1):Dados143336[[#This Row],[Fevereiro]],INDEX(Dados143336[Abril],1,1):Dados143336[[#This Row],[Abril]])),"")</f>
        <v>965.73</v>
      </c>
      <c r="Q65" s="18"/>
    </row>
    <row r="66" spans="2:17" ht="30" customHeight="1" x14ac:dyDescent="0.4">
      <c r="B66" s="6" t="s">
        <v>60</v>
      </c>
      <c r="C66" s="6"/>
      <c r="D66" s="7"/>
      <c r="E66" s="8"/>
      <c r="F66" s="7"/>
      <c r="G66" s="8"/>
      <c r="H66" s="8"/>
      <c r="I66" s="8"/>
      <c r="J66" s="8"/>
      <c r="K66" s="8"/>
      <c r="L66" s="8">
        <v>31.83</v>
      </c>
      <c r="M66" s="8">
        <v>87.7</v>
      </c>
      <c r="N66" s="8">
        <v>171.63</v>
      </c>
      <c r="O66" s="8">
        <v>107.38</v>
      </c>
      <c r="P66" s="9">
        <f>IFERROR(IF(ROW()-ROW(Dados143336[[#Headers],[Total]])=1,Dados143336[[#This Row],[Abril]]+Dados143336[[#This Row],[Fevereiro]],SUM(INDEX(Dados143336[Fevereiro],1,1):Dados143336[[#This Row],[Fevereiro]],INDEX(Dados143336[Abril],1,1):Dados143336[[#This Row],[Abril]])),"")</f>
        <v>965.73</v>
      </c>
      <c r="Q66" s="18"/>
    </row>
    <row r="67" spans="2:17" ht="30" customHeight="1" x14ac:dyDescent="0.4">
      <c r="B67" s="6" t="s">
        <v>17</v>
      </c>
      <c r="C67" s="6"/>
      <c r="D67" s="7"/>
      <c r="E67" s="8"/>
      <c r="F67" s="7"/>
      <c r="G67" s="8"/>
      <c r="H67" s="8"/>
      <c r="I67" s="8"/>
      <c r="J67" s="8"/>
      <c r="K67" s="8">
        <v>27.59</v>
      </c>
      <c r="L67" s="8">
        <v>78.34</v>
      </c>
      <c r="M67" s="8">
        <v>42.39</v>
      </c>
      <c r="N67" s="8">
        <v>1</v>
      </c>
      <c r="O67" s="8">
        <v>3.48</v>
      </c>
      <c r="P67" s="9">
        <f>IFERROR(IF(ROW()-ROW(Dados143336[[#Headers],[Total]])=1,Dados143336[[#This Row],[Abril]]+Dados143336[[#This Row],[Fevereiro]],SUM(INDEX(Dados143336[Fevereiro],1,1):Dados143336[[#This Row],[Fevereiro]],INDEX(Dados143336[Abril],1,1):Dados143336[[#This Row],[Abril]])),"")</f>
        <v>965.73</v>
      </c>
      <c r="Q67" s="18"/>
    </row>
    <row r="68" spans="2:17" ht="30" customHeight="1" x14ac:dyDescent="0.4">
      <c r="B68" s="6" t="s">
        <v>61</v>
      </c>
      <c r="C68" s="6"/>
      <c r="D68" s="7"/>
      <c r="E68" s="8"/>
      <c r="F68" s="7"/>
      <c r="G68" s="8"/>
      <c r="H68" s="8"/>
      <c r="I68" s="8"/>
      <c r="J68" s="8"/>
      <c r="K68" s="8"/>
      <c r="L68" s="8"/>
      <c r="M68" s="8"/>
      <c r="N68" s="8"/>
      <c r="O68" s="8"/>
      <c r="P68" s="9">
        <f>IFERROR(IF(ROW()-ROW(Dados143336[[#Headers],[Total]])=1,Dados143336[[#This Row],[Abril]]+Dados143336[[#This Row],[Fevereiro]],SUM(INDEX(Dados143336[Fevereiro],1,1):Dados143336[[#This Row],[Fevereiro]],INDEX(Dados143336[Abril],1,1):Dados143336[[#This Row],[Abril]])),"")</f>
        <v>965.73</v>
      </c>
      <c r="Q68" s="18"/>
    </row>
    <row r="69" spans="2:17" ht="30" customHeight="1" x14ac:dyDescent="0.4">
      <c r="B69" s="6" t="s">
        <v>62</v>
      </c>
      <c r="C69" s="6"/>
      <c r="D69" s="7"/>
      <c r="E69" s="8"/>
      <c r="F69" s="7"/>
      <c r="G69" s="8"/>
      <c r="H69" s="8"/>
      <c r="I69" s="8"/>
      <c r="J69" s="8"/>
      <c r="K69" s="8"/>
      <c r="L69" s="8"/>
      <c r="M69" s="8"/>
      <c r="N69" s="8"/>
      <c r="O69" s="8"/>
      <c r="P69" s="9">
        <f>IFERROR(IF(ROW()-ROW(Dados143336[[#Headers],[Total]])=1,Dados143336[[#This Row],[Abril]]+Dados143336[[#This Row],[Fevereiro]],SUM(INDEX(Dados143336[Fevereiro],1,1):Dados143336[[#This Row],[Fevereiro]],INDEX(Dados143336[Abril],1,1):Dados143336[[#This Row],[Abril]])),"")</f>
        <v>965.73</v>
      </c>
      <c r="Q69" s="18"/>
    </row>
    <row r="70" spans="2:17" ht="30" customHeight="1" x14ac:dyDescent="0.4">
      <c r="B70" s="6" t="s">
        <v>63</v>
      </c>
      <c r="C70" s="6"/>
      <c r="D70" s="7"/>
      <c r="E70" s="8"/>
      <c r="F70" s="7"/>
      <c r="G70" s="8"/>
      <c r="H70" s="8"/>
      <c r="I70" s="8"/>
      <c r="J70" s="8"/>
      <c r="K70" s="8"/>
      <c r="L70" s="8"/>
      <c r="M70" s="8"/>
      <c r="N70" s="8"/>
      <c r="O70" s="8"/>
      <c r="P70" s="9">
        <f>IFERROR(IF(ROW()-ROW(Dados143336[[#Headers],[Total]])=1,Dados143336[[#This Row],[Abril]]+Dados143336[[#This Row],[Fevereiro]],SUM(INDEX(Dados143336[Fevereiro],1,1):Dados143336[[#This Row],[Fevereiro]],INDEX(Dados143336[Abril],1,1):Dados143336[[#This Row],[Abril]])),"")</f>
        <v>965.73</v>
      </c>
      <c r="Q70" s="18"/>
    </row>
    <row r="71" spans="2:17" ht="30" customHeight="1" x14ac:dyDescent="0.4">
      <c r="B71" s="6" t="s">
        <v>64</v>
      </c>
      <c r="C71" s="6"/>
      <c r="D71" s="7"/>
      <c r="E71" s="8"/>
      <c r="F71" s="7">
        <v>134.59</v>
      </c>
      <c r="G71" s="8">
        <v>446.81</v>
      </c>
      <c r="H71" s="8">
        <v>259.27</v>
      </c>
      <c r="I71" s="8">
        <v>211.85</v>
      </c>
      <c r="J71" s="8">
        <v>365.67</v>
      </c>
      <c r="K71" s="8">
        <v>386.89</v>
      </c>
      <c r="L71" s="8">
        <v>433.89</v>
      </c>
      <c r="M71" s="8">
        <v>400.9</v>
      </c>
      <c r="N71" s="8">
        <v>331.67</v>
      </c>
      <c r="O71" s="8">
        <v>213.72</v>
      </c>
      <c r="P71" s="9">
        <f>IFERROR(IF(ROW()-ROW(Dados143336[[#Headers],[Total]])=1,Dados143336[[#This Row],[Abril]]+Dados143336[[#This Row],[Fevereiro]],SUM(INDEX(Dados143336[Fevereiro],1,1):Dados143336[[#This Row],[Fevereiro]],INDEX(Dados143336[Abril],1,1):Dados143336[[#This Row],[Abril]])),"")</f>
        <v>1412.54</v>
      </c>
      <c r="Q71" s="18"/>
    </row>
    <row r="72" spans="2:17" ht="30" customHeight="1" x14ac:dyDescent="0.4">
      <c r="B72" s="6" t="s">
        <v>65</v>
      </c>
      <c r="C72" s="6"/>
      <c r="D72" s="7"/>
      <c r="E72" s="8">
        <v>92.43</v>
      </c>
      <c r="F72" s="7">
        <v>136.85</v>
      </c>
      <c r="G72" s="8">
        <v>313.11</v>
      </c>
      <c r="H72" s="8">
        <v>201.58</v>
      </c>
      <c r="I72" s="8">
        <v>102.03</v>
      </c>
      <c r="J72" s="8">
        <v>260.38</v>
      </c>
      <c r="K72" s="8">
        <v>156.31</v>
      </c>
      <c r="L72" s="8">
        <v>239.35</v>
      </c>
      <c r="M72" s="8">
        <v>296.60000000000002</v>
      </c>
      <c r="N72" s="8">
        <v>285.33</v>
      </c>
      <c r="O72" s="8">
        <v>118.85</v>
      </c>
      <c r="P72" s="9">
        <f>IFERROR(IF(ROW()-ROW(Dados143336[[#Headers],[Total]])=1,Dados143336[[#This Row],[Abril]]+Dados143336[[#This Row],[Fevereiro]],SUM(INDEX(Dados143336[Fevereiro],1,1):Dados143336[[#This Row],[Fevereiro]],INDEX(Dados143336[Abril],1,1):Dados143336[[#This Row],[Abril]])),"")</f>
        <v>1818.08</v>
      </c>
      <c r="Q72" s="18"/>
    </row>
    <row r="73" spans="2:17" ht="30" customHeight="1" x14ac:dyDescent="0.4">
      <c r="B73" s="6" t="s">
        <v>66</v>
      </c>
      <c r="C73" s="6"/>
      <c r="D73" s="7"/>
      <c r="E73" s="8"/>
      <c r="F73" s="7"/>
      <c r="G73" s="8"/>
      <c r="H73" s="8"/>
      <c r="I73" s="8"/>
      <c r="J73" s="8"/>
      <c r="K73" s="8"/>
      <c r="L73" s="8"/>
      <c r="M73" s="8"/>
      <c r="N73" s="8"/>
      <c r="O73" s="8"/>
      <c r="P73" s="9">
        <f>IFERROR(IF(ROW()-ROW(Dados143336[[#Headers],[Total]])=1,Dados143336[[#This Row],[Abril]]+Dados143336[[#This Row],[Fevereiro]],SUM(INDEX(Dados143336[Fevereiro],1,1):Dados143336[[#This Row],[Fevereiro]],INDEX(Dados143336[Abril],1,1):Dados143336[[#This Row],[Abril]])),"")</f>
        <v>1818.08</v>
      </c>
      <c r="Q73" s="18"/>
    </row>
    <row r="74" spans="2:17" ht="30" customHeight="1" x14ac:dyDescent="0.4">
      <c r="B74" s="6" t="s">
        <v>67</v>
      </c>
      <c r="C74" s="6"/>
      <c r="D74" s="7"/>
      <c r="E74" s="8"/>
      <c r="F74" s="7"/>
      <c r="G74" s="8">
        <v>19.5</v>
      </c>
      <c r="H74" s="8"/>
      <c r="I74" s="8"/>
      <c r="J74" s="8"/>
      <c r="K74" s="8">
        <v>7.57</v>
      </c>
      <c r="L74" s="8"/>
      <c r="M74" s="8"/>
      <c r="N74" s="8"/>
      <c r="O74" s="8"/>
      <c r="P74" s="9">
        <f>IFERROR(IF(ROW()-ROW(Dados143336[[#Headers],[Total]])=1,Dados143336[[#This Row],[Abril]]+Dados143336[[#This Row],[Fevereiro]],SUM(INDEX(Dados143336[Fevereiro],1,1):Dados143336[[#This Row],[Fevereiro]],INDEX(Dados143336[Abril],1,1):Dados143336[[#This Row],[Abril]])),"")</f>
        <v>1837.58</v>
      </c>
      <c r="Q74" s="18"/>
    </row>
    <row r="75" spans="2:17" ht="30" customHeight="1" x14ac:dyDescent="0.4">
      <c r="B75" s="6" t="s">
        <v>68</v>
      </c>
      <c r="C75" s="6"/>
      <c r="D75" s="7"/>
      <c r="E75" s="8"/>
      <c r="F75" s="7"/>
      <c r="G75" s="8"/>
      <c r="H75" s="8"/>
      <c r="I75" s="8"/>
      <c r="J75" s="8"/>
      <c r="K75" s="8"/>
      <c r="L75" s="8"/>
      <c r="M75" s="8"/>
      <c r="N75" s="8"/>
      <c r="O75" s="8"/>
      <c r="P75" s="9">
        <f>IFERROR(IF(ROW()-ROW(Dados143336[[#Headers],[Total]])=1,Dados143336[[#This Row],[Abril]]+Dados143336[[#This Row],[Fevereiro]],SUM(INDEX(Dados143336[Fevereiro],1,1):Dados143336[[#This Row],[Fevereiro]],INDEX(Dados143336[Abril],1,1):Dados143336[[#This Row],[Abril]])),"")</f>
        <v>1837.58</v>
      </c>
      <c r="Q75" s="18"/>
    </row>
    <row r="76" spans="2:17" ht="30" customHeight="1" x14ac:dyDescent="0.4">
      <c r="B76" s="6" t="s">
        <v>69</v>
      </c>
      <c r="C76" s="6"/>
      <c r="D76" s="7">
        <v>60.94</v>
      </c>
      <c r="E76" s="8"/>
      <c r="F76" s="7"/>
      <c r="G76" s="8"/>
      <c r="H76" s="8"/>
      <c r="I76" s="8"/>
      <c r="J76" s="8"/>
      <c r="K76" s="8"/>
      <c r="L76" s="8"/>
      <c r="M76" s="8"/>
      <c r="N76" s="8"/>
      <c r="O76" s="8"/>
      <c r="P76" s="9">
        <f>IFERROR(IF(ROW()-ROW(Dados143336[[#Headers],[Total]])=1,Dados143336[[#This Row],[Abril]]+Dados143336[[#This Row],[Fevereiro]],SUM(INDEX(Dados143336[Fevereiro],1,1):Dados143336[[#This Row],[Fevereiro]],INDEX(Dados143336[Abril],1,1):Dados143336[[#This Row],[Abril]])),"")</f>
        <v>1837.58</v>
      </c>
      <c r="Q76" s="18"/>
    </row>
    <row r="77" spans="2:17" ht="30" customHeight="1" x14ac:dyDescent="0.4">
      <c r="B77" s="6" t="s">
        <v>70</v>
      </c>
      <c r="C77" s="6"/>
      <c r="D77" s="7"/>
      <c r="E77" s="8"/>
      <c r="F77" s="7"/>
      <c r="G77" s="8"/>
      <c r="H77" s="8"/>
      <c r="I77" s="8"/>
      <c r="J77" s="8"/>
      <c r="K77" s="8"/>
      <c r="L77" s="8"/>
      <c r="M77" s="8"/>
      <c r="N77" s="8"/>
      <c r="O77" s="8"/>
      <c r="P77" s="9">
        <f>IFERROR(IF(ROW()-ROW(Dados143336[[#Headers],[Total]])=1,Dados143336[[#This Row],[Abril]]+Dados143336[[#This Row],[Fevereiro]],SUM(INDEX(Dados143336[Fevereiro],1,1):Dados143336[[#This Row],[Fevereiro]],INDEX(Dados143336[Abril],1,1):Dados143336[[#This Row],[Abril]])),"")</f>
        <v>1837.58</v>
      </c>
      <c r="Q77" s="18"/>
    </row>
    <row r="78" spans="2:17" ht="30" customHeight="1" x14ac:dyDescent="0.4">
      <c r="B78" s="6"/>
      <c r="C78" s="6"/>
      <c r="D78" s="7"/>
      <c r="E78" s="8"/>
      <c r="F78" s="7"/>
      <c r="G78" s="8"/>
      <c r="H78" s="8"/>
      <c r="I78" s="8"/>
      <c r="J78" s="8"/>
      <c r="K78" s="8"/>
      <c r="L78" s="8"/>
      <c r="M78" s="8"/>
      <c r="N78" s="8"/>
      <c r="O78" s="8"/>
      <c r="P78" s="9">
        <f>IFERROR(IF(ROW()-ROW(Dados143336[[#Headers],[Total]])=1,Dados143336[[#This Row],[Abril]]+Dados143336[[#This Row],[Fevereiro]],SUM(INDEX(Dados143336[Fevereiro],1,1):Dados143336[[#This Row],[Fevereiro]],INDEX(Dados143336[Abril],1,1):Dados143336[[#This Row],[Abril]])),"")</f>
        <v>1837.58</v>
      </c>
      <c r="Q78" s="18"/>
    </row>
    <row r="79" spans="2:17" ht="30" customHeight="1" x14ac:dyDescent="0.4">
      <c r="B79" s="19" t="s">
        <v>16</v>
      </c>
      <c r="C79" s="19"/>
      <c r="D79" s="17">
        <f>SUBTOTAL(109,Dados143336[Janeiro])</f>
        <v>244.73</v>
      </c>
      <c r="E79" s="17">
        <f>SUBTOTAL(109,Dados143336[Fevereiro])</f>
        <v>493.36</v>
      </c>
      <c r="F79" s="17">
        <f>SUBTOTAL(109,Dados143336[Março])</f>
        <v>748.01</v>
      </c>
      <c r="G79" s="17">
        <f>SUBTOTAL(109,Dados143336[Abril])</f>
        <v>1344.2199999999998</v>
      </c>
      <c r="H79" s="17">
        <f>SUBTOTAL(109,Dados143336[Maio])</f>
        <v>890.24</v>
      </c>
      <c r="I79" s="17">
        <f>SUBTOTAL(109,Dados143336[Junho])</f>
        <v>588.5</v>
      </c>
      <c r="J79" s="17">
        <f>SUBTOTAL(109,Dados143336[Julho])</f>
        <v>1092.01</v>
      </c>
      <c r="K79" s="17">
        <f>SUBTOTAL(109,Dados143336[Agosto])</f>
        <v>1146.5899999999999</v>
      </c>
      <c r="L79" s="17">
        <f>SUBTOTAL(109,Dados143336[Setembro])</f>
        <v>1384.8600000000001</v>
      </c>
      <c r="M79" s="17">
        <f>SUBTOTAL(109,Dados143336[Outubro])</f>
        <v>1434.4</v>
      </c>
      <c r="N79" s="17">
        <f>SUBTOTAL(109,Dados143336[Novembro])</f>
        <v>1252.8699999999999</v>
      </c>
      <c r="O79" s="17">
        <f>SUBTOTAL(109,Dados143336[Dezembro])</f>
        <v>670.85</v>
      </c>
      <c r="P79" s="7">
        <f>SUBTOTAL(109,Dados143336[Total])</f>
        <v>21962.440000000002</v>
      </c>
      <c r="Q79" s="20">
        <f>SUBTOTAL(109,Dados143336[Funcionários])</f>
        <v>0</v>
      </c>
    </row>
    <row r="80" spans="2:17" ht="30" customHeight="1" x14ac:dyDescent="0.4">
      <c r="B80" s="3"/>
      <c r="C80" s="3"/>
      <c r="D80" s="3"/>
      <c r="E80" s="10"/>
      <c r="F80" s="3"/>
      <c r="G80" s="10"/>
      <c r="H80" s="10"/>
      <c r="I80" s="10"/>
      <c r="J80" s="10"/>
      <c r="K80" s="10"/>
      <c r="L80" s="10"/>
      <c r="M80" s="10"/>
      <c r="N80" s="10"/>
      <c r="O80" s="10"/>
      <c r="P80" s="3"/>
    </row>
    <row r="81" spans="2:16" ht="30" customHeight="1" x14ac:dyDescent="0.4">
      <c r="B81" s="3"/>
      <c r="C81" s="3"/>
      <c r="D81" s="3"/>
      <c r="E81" s="10"/>
      <c r="F81" s="3"/>
      <c r="G81" s="10"/>
      <c r="H81" s="10"/>
      <c r="I81" s="10"/>
      <c r="J81" s="10"/>
      <c r="K81" s="10"/>
      <c r="L81" s="10"/>
      <c r="M81" s="10"/>
      <c r="N81" s="10"/>
      <c r="O81" s="10"/>
      <c r="P81" s="3"/>
    </row>
    <row r="82" spans="2:16" ht="45" customHeight="1" x14ac:dyDescent="0.4">
      <c r="B82" s="2" t="s">
        <v>75</v>
      </c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2:16" ht="54.95" customHeight="1" x14ac:dyDescent="0.4">
      <c r="B83" s="3" t="s">
        <v>2</v>
      </c>
      <c r="C83" s="3" t="s">
        <v>3</v>
      </c>
      <c r="D83" s="4" t="s">
        <v>4</v>
      </c>
      <c r="E83" s="4" t="s">
        <v>5</v>
      </c>
      <c r="F83" s="4" t="s">
        <v>6</v>
      </c>
      <c r="G83" s="4" t="s">
        <v>7</v>
      </c>
      <c r="H83" s="4" t="s">
        <v>8</v>
      </c>
      <c r="I83" s="4" t="s">
        <v>9</v>
      </c>
      <c r="J83" s="4" t="s">
        <v>10</v>
      </c>
      <c r="K83" s="4" t="s">
        <v>11</v>
      </c>
      <c r="L83" s="4" t="s">
        <v>12</v>
      </c>
      <c r="M83" s="4" t="s">
        <v>13</v>
      </c>
      <c r="N83" s="4" t="s">
        <v>14</v>
      </c>
      <c r="O83" s="4" t="s">
        <v>15</v>
      </c>
      <c r="P83" s="5" t="s">
        <v>16</v>
      </c>
    </row>
    <row r="84" spans="2:16" ht="30" customHeight="1" x14ac:dyDescent="0.4">
      <c r="B84" s="6" t="s">
        <v>24</v>
      </c>
      <c r="C84" s="6"/>
      <c r="D84" s="7"/>
      <c r="E84" s="8">
        <v>504.96</v>
      </c>
      <c r="F84" s="7"/>
      <c r="G84" s="8"/>
      <c r="H84" s="8"/>
      <c r="I84" s="8"/>
      <c r="J84" s="8">
        <v>119.3</v>
      </c>
      <c r="K84" s="8"/>
      <c r="L84" s="8"/>
      <c r="M84" s="8"/>
      <c r="N84" s="8"/>
      <c r="O84" s="8"/>
      <c r="P84" s="9">
        <f>IFERROR(IF(ROW()-ROW(Dados143334[[#Headers],[Total]])=1,Dados143334[[#This Row],[Abril]]+Dados143334[[#This Row],[Fevereiro]],SUM(INDEX(Dados143334[Fevereiro],1,1):Dados143334[[#This Row],[Fevereiro]],INDEX(Dados143334[Abril],1,1):Dados143334[[#This Row],[Abril]])), "")</f>
        <v>504.96</v>
      </c>
    </row>
    <row r="85" spans="2:16" ht="30" customHeight="1" x14ac:dyDescent="0.4">
      <c r="B85" s="6" t="s">
        <v>47</v>
      </c>
      <c r="C85" s="6"/>
      <c r="D85" s="7"/>
      <c r="E85" s="8">
        <v>6.15</v>
      </c>
      <c r="F85" s="7"/>
      <c r="G85" s="8">
        <v>91.31</v>
      </c>
      <c r="H85" s="8"/>
      <c r="I85" s="8"/>
      <c r="J85" s="8">
        <v>36.369999999999997</v>
      </c>
      <c r="K85" s="8"/>
      <c r="L85" s="8"/>
      <c r="M85" s="8"/>
      <c r="N85" s="8"/>
      <c r="O85" s="8"/>
      <c r="P85" s="9">
        <f>IFERROR(IF(ROW()-ROW(Dados143334[[#Headers],[Total]])=1,Dados143334[[#This Row],[Abril]]+Dados143334[[#This Row],[Fevereiro]],SUM(INDEX(Dados143334[Fevereiro],1,1):Dados143334[[#This Row],[Fevereiro]],INDEX(Dados143334[Abril],1,1):Dados143334[[#This Row],[Abril]])),"")</f>
        <v>602.41999999999996</v>
      </c>
    </row>
    <row r="86" spans="2:16" ht="30" customHeight="1" x14ac:dyDescent="0.4">
      <c r="B86" s="6" t="s">
        <v>21</v>
      </c>
      <c r="C86" s="6"/>
      <c r="D86" s="7"/>
      <c r="E86" s="8">
        <v>104.05</v>
      </c>
      <c r="F86" s="7">
        <v>247.72</v>
      </c>
      <c r="G86" s="8">
        <v>131.93</v>
      </c>
      <c r="H86" s="8">
        <v>1043.2</v>
      </c>
      <c r="I86" s="8">
        <v>798.7</v>
      </c>
      <c r="J86" s="8">
        <f>54.55+378.95</f>
        <v>433.5</v>
      </c>
      <c r="K86" s="8"/>
      <c r="L86" s="8"/>
      <c r="M86" s="8"/>
      <c r="N86" s="8"/>
      <c r="O86" s="8"/>
      <c r="P86" s="9">
        <f>IFERROR(IF(ROW()-ROW(Dados143334[[#Headers],[Total]])=1,Dados143334[[#This Row],[Abril]]+Dados143334[[#This Row],[Fevereiro]],SUM(INDEX(Dados143334[Fevereiro],1,1):Dados143334[[#This Row],[Fevereiro]],INDEX(Dados143334[Abril],1,1):Dados143334[[#This Row],[Abril]])),"")</f>
        <v>838.40000000000009</v>
      </c>
    </row>
    <row r="87" spans="2:16" ht="30" customHeight="1" x14ac:dyDescent="0.4">
      <c r="B87" s="6" t="s">
        <v>60</v>
      </c>
      <c r="C87" s="6"/>
      <c r="D87" s="7"/>
      <c r="E87" s="8"/>
      <c r="F87" s="7"/>
      <c r="G87" s="8"/>
      <c r="H87" s="8"/>
      <c r="I87" s="8"/>
      <c r="J87" s="8"/>
      <c r="K87" s="8"/>
      <c r="L87" s="8"/>
      <c r="M87" s="8"/>
      <c r="N87" s="8"/>
      <c r="O87" s="8"/>
      <c r="P87" s="9">
        <f>IFERROR(IF(ROW()-ROW(Dados143334[[#Headers],[Total]])=1,Dados143334[[#This Row],[Abril]]+Dados143334[[#This Row],[Fevereiro]],SUM(INDEX(Dados143334[Fevereiro],1,1):Dados143334[[#This Row],[Fevereiro]],INDEX(Dados143334[Abril],1,1):Dados143334[[#This Row],[Abril]])),"")</f>
        <v>838.40000000000009</v>
      </c>
    </row>
    <row r="88" spans="2:16" ht="30" customHeight="1" x14ac:dyDescent="0.4">
      <c r="B88" s="6" t="s">
        <v>17</v>
      </c>
      <c r="C88" s="6"/>
      <c r="D88" s="7"/>
      <c r="E88" s="8"/>
      <c r="F88" s="7"/>
      <c r="G88" s="8"/>
      <c r="H88" s="8"/>
      <c r="I88" s="8"/>
      <c r="J88" s="8"/>
      <c r="K88" s="8"/>
      <c r="L88" s="8">
        <v>17.5</v>
      </c>
      <c r="M88" s="8">
        <v>35</v>
      </c>
      <c r="N88" s="8"/>
      <c r="O88" s="8"/>
      <c r="P88" s="9">
        <f>IFERROR(IF(ROW()-ROW(Dados143334[[#Headers],[Total]])=1,Dados143334[[#This Row],[Abril]]+Dados143334[[#This Row],[Fevereiro]],SUM(INDEX(Dados143334[Fevereiro],1,1):Dados143334[[#This Row],[Fevereiro]],INDEX(Dados143334[Abril],1,1):Dados143334[[#This Row],[Abril]])),"")</f>
        <v>838.40000000000009</v>
      </c>
    </row>
    <row r="89" spans="2:16" ht="30" customHeight="1" x14ac:dyDescent="0.4">
      <c r="B89" s="6" t="s">
        <v>61</v>
      </c>
      <c r="C89" s="6"/>
      <c r="D89" s="7"/>
      <c r="E89" s="8">
        <v>26</v>
      </c>
      <c r="F89" s="7">
        <v>37.15</v>
      </c>
      <c r="G89" s="8">
        <v>44.6</v>
      </c>
      <c r="H89" s="8"/>
      <c r="I89" s="8"/>
      <c r="J89" s="8">
        <v>10</v>
      </c>
      <c r="K89" s="8"/>
      <c r="L89" s="8"/>
      <c r="M89" s="8"/>
      <c r="N89" s="8"/>
      <c r="O89" s="8"/>
      <c r="P89" s="9">
        <f>IFERROR(IF(ROW()-ROW(Dados143334[[#Headers],[Total]])=1,Dados143334[[#This Row],[Abril]]+Dados143334[[#This Row],[Fevereiro]],SUM(INDEX(Dados143334[Fevereiro],1,1):Dados143334[[#This Row],[Fevereiro]],INDEX(Dados143334[Abril],1,1):Dados143334[[#This Row],[Abril]])),"")</f>
        <v>909.00000000000011</v>
      </c>
    </row>
    <row r="90" spans="2:16" ht="30" customHeight="1" x14ac:dyDescent="0.4">
      <c r="B90" s="6" t="s">
        <v>62</v>
      </c>
      <c r="C90" s="6"/>
      <c r="D90" s="7"/>
      <c r="E90" s="8"/>
      <c r="F90" s="7">
        <v>142.51</v>
      </c>
      <c r="G90" s="8">
        <v>134.16</v>
      </c>
      <c r="H90" s="8"/>
      <c r="I90" s="8"/>
      <c r="J90" s="8">
        <v>54.49</v>
      </c>
      <c r="K90" s="8"/>
      <c r="L90" s="8"/>
      <c r="M90" s="8"/>
      <c r="N90" s="8"/>
      <c r="O90" s="8"/>
      <c r="P90" s="9">
        <f>IFERROR(IF(ROW()-ROW(Dados143334[[#Headers],[Total]])=1,Dados143334[[#This Row],[Abril]]+Dados143334[[#This Row],[Fevereiro]],SUM(INDEX(Dados143334[Fevereiro],1,1):Dados143334[[#This Row],[Fevereiro]],INDEX(Dados143334[Abril],1,1):Dados143334[[#This Row],[Abril]])),"")</f>
        <v>1043.1600000000001</v>
      </c>
    </row>
    <row r="91" spans="2:16" ht="30" customHeight="1" x14ac:dyDescent="0.4">
      <c r="B91" s="6" t="s">
        <v>63</v>
      </c>
      <c r="C91" s="6"/>
      <c r="D91" s="7"/>
      <c r="E91" s="8"/>
      <c r="F91" s="7"/>
      <c r="G91" s="8"/>
      <c r="H91" s="8"/>
      <c r="I91" s="8"/>
      <c r="J91" s="8"/>
      <c r="K91" s="8"/>
      <c r="L91" s="8">
        <v>18.600000000000001</v>
      </c>
      <c r="M91" s="8"/>
      <c r="N91" s="8"/>
      <c r="O91" s="8"/>
      <c r="P91" s="9">
        <f>IFERROR(IF(ROW()-ROW(Dados143334[[#Headers],[Total]])=1,Dados143334[[#This Row],[Abril]]+Dados143334[[#This Row],[Fevereiro]],SUM(INDEX(Dados143334[Fevereiro],1,1):Dados143334[[#This Row],[Fevereiro]],INDEX(Dados143334[Abril],1,1):Dados143334[[#This Row],[Abril]])),"")</f>
        <v>1043.1600000000001</v>
      </c>
    </row>
    <row r="92" spans="2:16" ht="30" customHeight="1" x14ac:dyDescent="0.4">
      <c r="B92" s="6" t="s">
        <v>64</v>
      </c>
      <c r="C92" s="6"/>
      <c r="D92" s="7"/>
      <c r="E92" s="8"/>
      <c r="F92" s="7">
        <v>16.350000000000001</v>
      </c>
      <c r="G92" s="8">
        <v>357.1</v>
      </c>
      <c r="H92" s="8"/>
      <c r="I92" s="8"/>
      <c r="J92" s="8">
        <v>164.29</v>
      </c>
      <c r="K92" s="8">
        <v>26.43</v>
      </c>
      <c r="L92" s="8"/>
      <c r="M92" s="8"/>
      <c r="N92" s="8"/>
      <c r="O92" s="8"/>
      <c r="P92" s="9">
        <f>IFERROR(IF(ROW()-ROW(Dados143334[[#Headers],[Total]])=1,Dados143334[[#This Row],[Abril]]+Dados143334[[#This Row],[Fevereiro]],SUM(INDEX(Dados143334[Fevereiro],1,1):Dados143334[[#This Row],[Fevereiro]],INDEX(Dados143334[Abril],1,1):Dados143334[[#This Row],[Abril]])),"")</f>
        <v>1400.2600000000002</v>
      </c>
    </row>
    <row r="93" spans="2:16" ht="30" customHeight="1" x14ac:dyDescent="0.4">
      <c r="B93" s="6" t="s">
        <v>65</v>
      </c>
      <c r="C93" s="6"/>
      <c r="D93" s="7"/>
      <c r="E93" s="8"/>
      <c r="F93" s="7">
        <v>125.52</v>
      </c>
      <c r="G93" s="8">
        <v>208.42</v>
      </c>
      <c r="H93" s="8"/>
      <c r="I93" s="8"/>
      <c r="J93" s="8">
        <v>72.709999999999994</v>
      </c>
      <c r="K93" s="8"/>
      <c r="L93" s="8"/>
      <c r="M93" s="8"/>
      <c r="N93" s="8"/>
      <c r="O93" s="8"/>
      <c r="P93" s="9">
        <f>IFERROR(IF(ROW()-ROW(Dados143334[[#Headers],[Total]])=1,Dados143334[[#This Row],[Abril]]+Dados143334[[#This Row],[Fevereiro]],SUM(INDEX(Dados143334[Fevereiro],1,1):Dados143334[[#This Row],[Fevereiro]],INDEX(Dados143334[Abril],1,1):Dados143334[[#This Row],[Abril]])),"")</f>
        <v>1608.6800000000003</v>
      </c>
    </row>
    <row r="94" spans="2:16" ht="30" customHeight="1" x14ac:dyDescent="0.4">
      <c r="B94" s="6" t="s">
        <v>66</v>
      </c>
      <c r="C94" s="6"/>
      <c r="D94" s="7"/>
      <c r="E94" s="8"/>
      <c r="F94" s="7"/>
      <c r="G94" s="8"/>
      <c r="H94" s="8"/>
      <c r="I94" s="8"/>
      <c r="J94" s="8"/>
      <c r="K94" s="8"/>
      <c r="L94" s="8"/>
      <c r="M94" s="8"/>
      <c r="N94" s="8"/>
      <c r="O94" s="8"/>
      <c r="P94" s="9">
        <f>IFERROR(IF(ROW()-ROW(Dados143334[[#Headers],[Total]])=1,Dados143334[[#This Row],[Abril]]+Dados143334[[#This Row],[Fevereiro]],SUM(INDEX(Dados143334[Fevereiro],1,1):Dados143334[[#This Row],[Fevereiro]],INDEX(Dados143334[Abril],1,1):Dados143334[[#This Row],[Abril]])),"")</f>
        <v>1608.6800000000003</v>
      </c>
    </row>
    <row r="95" spans="2:16" ht="30" customHeight="1" x14ac:dyDescent="0.4">
      <c r="B95" s="6" t="s">
        <v>67</v>
      </c>
      <c r="C95" s="6"/>
      <c r="D95" s="7"/>
      <c r="E95" s="8"/>
      <c r="F95" s="7"/>
      <c r="G95" s="8">
        <v>267.27</v>
      </c>
      <c r="H95" s="8">
        <v>294.52</v>
      </c>
      <c r="I95" s="8">
        <v>114.59</v>
      </c>
      <c r="J95" s="8">
        <f>216.7+21.67</f>
        <v>238.37</v>
      </c>
      <c r="K95" s="8"/>
      <c r="L95" s="8"/>
      <c r="M95" s="8"/>
      <c r="N95" s="8"/>
      <c r="O95" s="8"/>
      <c r="P95" s="9">
        <f>IFERROR(IF(ROW()-ROW(Dados143334[[#Headers],[Total]])=1,Dados143334[[#This Row],[Abril]]+Dados143334[[#This Row],[Fevereiro]],SUM(INDEX(Dados143334[Fevereiro],1,1):Dados143334[[#This Row],[Fevereiro]],INDEX(Dados143334[Abril],1,1):Dados143334[[#This Row],[Abril]])),"")</f>
        <v>1875.9500000000003</v>
      </c>
    </row>
    <row r="96" spans="2:16" ht="30" customHeight="1" x14ac:dyDescent="0.4">
      <c r="B96" s="6" t="s">
        <v>68</v>
      </c>
      <c r="C96" s="6"/>
      <c r="D96" s="7">
        <v>204</v>
      </c>
      <c r="E96" s="8">
        <v>201.8</v>
      </c>
      <c r="F96" s="7">
        <v>129.49</v>
      </c>
      <c r="G96" s="8"/>
      <c r="H96" s="8"/>
      <c r="I96" s="8"/>
      <c r="J96" s="8"/>
      <c r="K96" s="8"/>
      <c r="L96" s="8"/>
      <c r="M96" s="8"/>
      <c r="N96" s="8"/>
      <c r="O96" s="8"/>
      <c r="P96" s="9">
        <f>IFERROR(IF(ROW()-ROW(Dados143334[[#Headers],[Total]])=1,Dados143334[[#This Row],[Abril]]+Dados143334[[#This Row],[Fevereiro]],SUM(INDEX(Dados143334[Fevereiro],1,1):Dados143334[[#This Row],[Fevereiro]],INDEX(Dados143334[Abril],1,1):Dados143334[[#This Row],[Abril]])),"")</f>
        <v>2077.75</v>
      </c>
    </row>
    <row r="97" spans="2:16" ht="30" customHeight="1" x14ac:dyDescent="0.4">
      <c r="B97" s="6" t="s">
        <v>69</v>
      </c>
      <c r="C97" s="6"/>
      <c r="D97" s="7"/>
      <c r="E97" s="8">
        <v>308.95999999999998</v>
      </c>
      <c r="F97" s="7">
        <v>455.06</v>
      </c>
      <c r="G97" s="8"/>
      <c r="H97" s="8"/>
      <c r="I97" s="8"/>
      <c r="J97" s="8"/>
      <c r="K97" s="8"/>
      <c r="L97" s="8"/>
      <c r="M97" s="8"/>
      <c r="N97" s="8"/>
      <c r="O97" s="8"/>
      <c r="P97" s="9">
        <f>IFERROR(IF(ROW()-ROW(Dados143334[[#Headers],[Total]])=1,Dados143334[[#This Row],[Abril]]+Dados143334[[#This Row],[Fevereiro]],SUM(INDEX(Dados143334[Fevereiro],1,1):Dados143334[[#This Row],[Fevereiro]],INDEX(Dados143334[Abril],1,1):Dados143334[[#This Row],[Abril]])),"")</f>
        <v>2386.71</v>
      </c>
    </row>
    <row r="98" spans="2:16" ht="30" customHeight="1" x14ac:dyDescent="0.4">
      <c r="B98" s="6" t="s">
        <v>70</v>
      </c>
      <c r="C98" s="6"/>
      <c r="D98" s="7"/>
      <c r="E98" s="8"/>
      <c r="F98" s="7"/>
      <c r="G98" s="8">
        <v>37.15</v>
      </c>
      <c r="H98" s="8"/>
      <c r="I98" s="8"/>
      <c r="J98" s="8"/>
      <c r="K98" s="8"/>
      <c r="L98" s="8"/>
      <c r="M98" s="8"/>
      <c r="N98" s="8"/>
      <c r="O98" s="8"/>
      <c r="P98" s="9">
        <f>IFERROR(IF(ROW()-ROW(Dados143334[[#Headers],[Total]])=1,Dados143334[[#This Row],[Abril]]+Dados143334[[#This Row],[Fevereiro]],SUM(INDEX(Dados143334[Fevereiro],1,1):Dados143334[[#This Row],[Fevereiro]],INDEX(Dados143334[Abril],1,1):Dados143334[[#This Row],[Abril]])),"")</f>
        <v>2423.86</v>
      </c>
    </row>
    <row r="99" spans="2:16" ht="30" customHeight="1" x14ac:dyDescent="0.4">
      <c r="B99" s="6"/>
      <c r="C99" s="6"/>
      <c r="D99" s="7"/>
      <c r="E99" s="8"/>
      <c r="F99" s="7"/>
      <c r="G99" s="8"/>
      <c r="H99" s="8"/>
      <c r="I99" s="8"/>
      <c r="J99" s="8"/>
      <c r="K99" s="8"/>
      <c r="L99" s="8"/>
      <c r="M99" s="8"/>
      <c r="N99" s="8"/>
      <c r="O99" s="8"/>
      <c r="P99" s="9">
        <f>IFERROR(IF(ROW()-ROW(Dados143334[[#Headers],[Total]])=1,Dados143334[[#This Row],[Abril]]+Dados143334[[#This Row],[Fevereiro]],SUM(INDEX(Dados143334[Fevereiro],1,1):Dados143334[[#This Row],[Fevereiro]],INDEX(Dados143334[Abril],1,1):Dados143334[[#This Row],[Abril]])),"")</f>
        <v>2423.86</v>
      </c>
    </row>
    <row r="100" spans="2:16" ht="30" customHeight="1" x14ac:dyDescent="0.4">
      <c r="B100" s="3" t="s">
        <v>16</v>
      </c>
      <c r="C100" s="3"/>
      <c r="D100" s="17">
        <f>SUBTOTAL(109,Dados143334[Janeiro])</f>
        <v>204</v>
      </c>
      <c r="E100" s="17">
        <f>SUBTOTAL(109,Dados143334[Fevereiro])</f>
        <v>1151.92</v>
      </c>
      <c r="F100" s="17">
        <f>SUBTOTAL(109,Dados143334[Março])</f>
        <v>1153.8</v>
      </c>
      <c r="G100" s="17">
        <f>SUBTOTAL(109,Dados143334[Abril])</f>
        <v>1271.94</v>
      </c>
      <c r="H100" s="17">
        <f>SUBTOTAL(109,Dados143334[Maio])</f>
        <v>1337.72</v>
      </c>
      <c r="I100" s="17">
        <f>SUBTOTAL(109,Dados143334[Junho])</f>
        <v>913.29000000000008</v>
      </c>
      <c r="J100" s="17">
        <f>SUBTOTAL(109,Dados143334[Julho])</f>
        <v>1129.03</v>
      </c>
      <c r="K100" s="17">
        <f>SUBTOTAL(109,Dados143334[Agosto])</f>
        <v>26.43</v>
      </c>
      <c r="L100" s="17">
        <f>SUBTOTAL(109,Dados143334[Setembro])</f>
        <v>36.1</v>
      </c>
      <c r="M100" s="17">
        <f>SUBTOTAL(109,Dados143334[Outubro])</f>
        <v>35</v>
      </c>
      <c r="N100" s="17">
        <f>SUBTOTAL(109,Dados143334[Novembro])</f>
        <v>0</v>
      </c>
      <c r="O100" s="17">
        <f>SUBTOTAL(109,Dados143334[Dezembro])</f>
        <v>0</v>
      </c>
      <c r="P100" s="3"/>
    </row>
    <row r="101" spans="2:16" ht="30" customHeight="1" x14ac:dyDescent="0.4">
      <c r="B101" s="3"/>
      <c r="C101" s="3"/>
      <c r="D101" s="3"/>
      <c r="E101" s="10"/>
      <c r="F101" s="3"/>
      <c r="G101" s="10"/>
      <c r="H101" s="10"/>
      <c r="I101" s="10"/>
      <c r="J101" s="10"/>
      <c r="K101" s="10"/>
      <c r="L101" s="10"/>
      <c r="M101" s="10"/>
      <c r="N101" s="10"/>
      <c r="O101" s="10"/>
      <c r="P101" s="3"/>
    </row>
    <row r="102" spans="2:16" ht="45" customHeight="1" x14ac:dyDescent="0.4">
      <c r="B102" s="2" t="s">
        <v>76</v>
      </c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2:16" ht="54.95" customHeight="1" x14ac:dyDescent="0.4">
      <c r="B103" s="3" t="s">
        <v>2</v>
      </c>
      <c r="C103" s="3" t="s">
        <v>3</v>
      </c>
      <c r="D103" s="4" t="s">
        <v>4</v>
      </c>
      <c r="E103" s="4" t="s">
        <v>5</v>
      </c>
      <c r="F103" s="4" t="s">
        <v>6</v>
      </c>
      <c r="G103" s="4" t="s">
        <v>7</v>
      </c>
      <c r="H103" s="4" t="s">
        <v>8</v>
      </c>
      <c r="I103" s="4" t="s">
        <v>9</v>
      </c>
      <c r="J103" s="4" t="s">
        <v>10</v>
      </c>
      <c r="K103" s="4" t="s">
        <v>11</v>
      </c>
      <c r="L103" s="4" t="s">
        <v>12</v>
      </c>
      <c r="M103" s="4" t="s">
        <v>13</v>
      </c>
      <c r="N103" s="4" t="s">
        <v>14</v>
      </c>
      <c r="O103" s="4" t="s">
        <v>15</v>
      </c>
      <c r="P103" s="5" t="s">
        <v>16</v>
      </c>
    </row>
    <row r="104" spans="2:16" ht="30" customHeight="1" x14ac:dyDescent="0.4">
      <c r="B104" s="6" t="s">
        <v>24</v>
      </c>
      <c r="C104" s="6"/>
      <c r="D104" s="7"/>
      <c r="E104" s="8"/>
      <c r="F104" s="7"/>
      <c r="G104" s="8"/>
      <c r="H104" s="8"/>
      <c r="I104" s="8"/>
      <c r="J104" s="8"/>
      <c r="K104" s="8"/>
      <c r="L104" s="8"/>
      <c r="M104" s="8"/>
      <c r="N104" s="8"/>
      <c r="O104" s="8"/>
      <c r="P104" s="9">
        <f>IFERROR(IF(ROW()-ROW(Dados14333444[[#Headers],[Total]])=1,Dados14333444[[#This Row],[Abril]]+Dados14333444[[#This Row],[Fevereiro]],SUM(INDEX(Dados14333444[Fevereiro],1,1):Dados14333444[[#This Row],[Fevereiro]],INDEX(Dados14333444[Abril],1,1):Dados14333444[[#This Row],[Abril]])), "")</f>
        <v>0</v>
      </c>
    </row>
    <row r="105" spans="2:16" ht="30" customHeight="1" x14ac:dyDescent="0.4">
      <c r="B105" s="6" t="s">
        <v>47</v>
      </c>
      <c r="C105" s="6"/>
      <c r="D105" s="7"/>
      <c r="E105" s="8"/>
      <c r="F105" s="7"/>
      <c r="G105" s="8"/>
      <c r="H105" s="8"/>
      <c r="I105" s="8"/>
      <c r="J105" s="8"/>
      <c r="K105" s="8"/>
      <c r="L105" s="8"/>
      <c r="M105" s="8"/>
      <c r="N105" s="8"/>
      <c r="O105" s="8"/>
      <c r="P105" s="9">
        <f>IFERROR(IF(ROW()-ROW(Dados14333444[[#Headers],[Total]])=1,Dados14333444[[#This Row],[Abril]]+Dados14333444[[#This Row],[Fevereiro]],SUM(INDEX(Dados14333444[Fevereiro],1,1):Dados14333444[[#This Row],[Fevereiro]],INDEX(Dados14333444[Abril],1,1):Dados14333444[[#This Row],[Abril]])),"")</f>
        <v>0</v>
      </c>
    </row>
    <row r="106" spans="2:16" ht="30" customHeight="1" x14ac:dyDescent="0.4">
      <c r="B106" s="6" t="s">
        <v>21</v>
      </c>
      <c r="C106" s="6"/>
      <c r="D106" s="7"/>
      <c r="E106" s="8"/>
      <c r="F106" s="7"/>
      <c r="G106" s="8"/>
      <c r="H106" s="8"/>
      <c r="I106" s="8"/>
      <c r="J106" s="8"/>
      <c r="K106" s="8"/>
      <c r="L106" s="8"/>
      <c r="M106" s="8"/>
      <c r="N106" s="8"/>
      <c r="O106" s="8"/>
      <c r="P106" s="9">
        <f>IFERROR(IF(ROW()-ROW(Dados14333444[[#Headers],[Total]])=1,Dados14333444[[#This Row],[Abril]]+Dados14333444[[#This Row],[Fevereiro]],SUM(INDEX(Dados14333444[Fevereiro],1,1):Dados14333444[[#This Row],[Fevereiro]],INDEX(Dados14333444[Abril],1,1):Dados14333444[[#This Row],[Abril]])),"")</f>
        <v>0</v>
      </c>
    </row>
    <row r="107" spans="2:16" ht="30" customHeight="1" x14ac:dyDescent="0.4">
      <c r="B107" s="6" t="s">
        <v>60</v>
      </c>
      <c r="C107" s="6"/>
      <c r="D107" s="7"/>
      <c r="E107" s="8"/>
      <c r="F107" s="7"/>
      <c r="G107" s="8"/>
      <c r="H107" s="8"/>
      <c r="I107" s="8"/>
      <c r="J107" s="8"/>
      <c r="K107" s="8"/>
      <c r="L107" s="8"/>
      <c r="M107" s="8"/>
      <c r="N107" s="8"/>
      <c r="O107" s="8"/>
      <c r="P107" s="9">
        <f>IFERROR(IF(ROW()-ROW(Dados14333444[[#Headers],[Total]])=1,Dados14333444[[#This Row],[Abril]]+Dados14333444[[#This Row],[Fevereiro]],SUM(INDEX(Dados14333444[Fevereiro],1,1):Dados14333444[[#This Row],[Fevereiro]],INDEX(Dados14333444[Abril],1,1):Dados14333444[[#This Row],[Abril]])),"")</f>
        <v>0</v>
      </c>
    </row>
    <row r="108" spans="2:16" ht="30" customHeight="1" x14ac:dyDescent="0.4">
      <c r="B108" s="6" t="s">
        <v>17</v>
      </c>
      <c r="C108" s="6"/>
      <c r="D108" s="7"/>
      <c r="E108" s="8"/>
      <c r="F108" s="7"/>
      <c r="G108" s="8"/>
      <c r="H108" s="8"/>
      <c r="I108" s="8"/>
      <c r="J108" s="8"/>
      <c r="K108" s="8"/>
      <c r="L108" s="8"/>
      <c r="M108" s="8"/>
      <c r="N108" s="8"/>
      <c r="O108" s="8"/>
      <c r="P108" s="9">
        <f>IFERROR(IF(ROW()-ROW(Dados14333444[[#Headers],[Total]])=1,Dados14333444[[#This Row],[Abril]]+Dados14333444[[#This Row],[Fevereiro]],SUM(INDEX(Dados14333444[Fevereiro],1,1):Dados14333444[[#This Row],[Fevereiro]],INDEX(Dados14333444[Abril],1,1):Dados14333444[[#This Row],[Abril]])),"")</f>
        <v>0</v>
      </c>
    </row>
    <row r="109" spans="2:16" ht="30" customHeight="1" x14ac:dyDescent="0.4">
      <c r="B109" s="6" t="s">
        <v>61</v>
      </c>
      <c r="C109" s="6"/>
      <c r="D109" s="7"/>
      <c r="E109" s="8"/>
      <c r="F109" s="7"/>
      <c r="G109" s="8"/>
      <c r="H109" s="8"/>
      <c r="I109" s="8"/>
      <c r="J109" s="8"/>
      <c r="K109" s="8"/>
      <c r="L109" s="8"/>
      <c r="M109" s="8"/>
      <c r="N109" s="8"/>
      <c r="O109" s="8"/>
      <c r="P109" s="9">
        <f>IFERROR(IF(ROW()-ROW(Dados14333444[[#Headers],[Total]])=1,Dados14333444[[#This Row],[Abril]]+Dados14333444[[#This Row],[Fevereiro]],SUM(INDEX(Dados14333444[Fevereiro],1,1):Dados14333444[[#This Row],[Fevereiro]],INDEX(Dados14333444[Abril],1,1):Dados14333444[[#This Row],[Abril]])),"")</f>
        <v>0</v>
      </c>
    </row>
    <row r="110" spans="2:16" ht="30" customHeight="1" x14ac:dyDescent="0.4">
      <c r="B110" s="6" t="s">
        <v>62</v>
      </c>
      <c r="C110" s="6"/>
      <c r="D110" s="7"/>
      <c r="E110" s="8"/>
      <c r="F110" s="7"/>
      <c r="G110" s="8"/>
      <c r="H110" s="8"/>
      <c r="I110" s="8"/>
      <c r="J110" s="8"/>
      <c r="K110" s="8"/>
      <c r="L110" s="8"/>
      <c r="M110" s="8"/>
      <c r="N110" s="8"/>
      <c r="O110" s="8">
        <v>367.23</v>
      </c>
      <c r="P110" s="9">
        <f>IFERROR(IF(ROW()-ROW(Dados14333444[[#Headers],[Total]])=1,Dados14333444[[#This Row],[Abril]]+Dados14333444[[#This Row],[Fevereiro]],SUM(INDEX(Dados14333444[Fevereiro],1,1):Dados14333444[[#This Row],[Fevereiro]],INDEX(Dados14333444[Abril],1,1):Dados14333444[[#This Row],[Abril]])),"")</f>
        <v>0</v>
      </c>
    </row>
    <row r="111" spans="2:16" ht="30" customHeight="1" x14ac:dyDescent="0.4">
      <c r="B111" s="6" t="s">
        <v>63</v>
      </c>
      <c r="C111" s="6"/>
      <c r="D111" s="7"/>
      <c r="E111" s="8"/>
      <c r="F111" s="7"/>
      <c r="G111" s="8"/>
      <c r="H111" s="8"/>
      <c r="I111" s="8"/>
      <c r="J111" s="8"/>
      <c r="K111" s="8"/>
      <c r="L111" s="8"/>
      <c r="M111" s="8"/>
      <c r="N111" s="8"/>
      <c r="O111" s="8"/>
      <c r="P111" s="9">
        <f>IFERROR(IF(ROW()-ROW(Dados14333444[[#Headers],[Total]])=1,Dados14333444[[#This Row],[Abril]]+Dados14333444[[#This Row],[Fevereiro]],SUM(INDEX(Dados14333444[Fevereiro],1,1):Dados14333444[[#This Row],[Fevereiro]],INDEX(Dados14333444[Abril],1,1):Dados14333444[[#This Row],[Abril]])),"")</f>
        <v>0</v>
      </c>
    </row>
    <row r="112" spans="2:16" ht="30" customHeight="1" x14ac:dyDescent="0.4">
      <c r="B112" s="6" t="s">
        <v>64</v>
      </c>
      <c r="C112" s="6"/>
      <c r="D112" s="7"/>
      <c r="E112" s="8"/>
      <c r="F112" s="7"/>
      <c r="G112" s="8"/>
      <c r="H112" s="8"/>
      <c r="I112" s="8"/>
      <c r="J112" s="8"/>
      <c r="K112" s="8"/>
      <c r="L112" s="8"/>
      <c r="M112" s="8"/>
      <c r="N112" s="8"/>
      <c r="O112" s="8"/>
      <c r="P112" s="9">
        <f>IFERROR(IF(ROW()-ROW(Dados14333444[[#Headers],[Total]])=1,Dados14333444[[#This Row],[Abril]]+Dados14333444[[#This Row],[Fevereiro]],SUM(INDEX(Dados14333444[Fevereiro],1,1):Dados14333444[[#This Row],[Fevereiro]],INDEX(Dados14333444[Abril],1,1):Dados14333444[[#This Row],[Abril]])),"")</f>
        <v>0</v>
      </c>
    </row>
    <row r="113" spans="2:16" ht="30" customHeight="1" x14ac:dyDescent="0.4">
      <c r="B113" s="6" t="s">
        <v>65</v>
      </c>
      <c r="C113" s="6"/>
      <c r="D113" s="7"/>
      <c r="E113" s="8"/>
      <c r="F113" s="7"/>
      <c r="G113" s="8"/>
      <c r="H113" s="8"/>
      <c r="I113" s="8"/>
      <c r="J113" s="8"/>
      <c r="K113" s="8"/>
      <c r="L113" s="8"/>
      <c r="M113" s="8"/>
      <c r="N113" s="8"/>
      <c r="O113" s="8">
        <v>448.77</v>
      </c>
      <c r="P113" s="9">
        <f>IFERROR(IF(ROW()-ROW(Dados14333444[[#Headers],[Total]])=1,Dados14333444[[#This Row],[Abril]]+Dados14333444[[#This Row],[Fevereiro]],SUM(INDEX(Dados14333444[Fevereiro],1,1):Dados14333444[[#This Row],[Fevereiro]],INDEX(Dados14333444[Abril],1,1):Dados14333444[[#This Row],[Abril]])),"")</f>
        <v>0</v>
      </c>
    </row>
    <row r="114" spans="2:16" ht="30" customHeight="1" x14ac:dyDescent="0.4">
      <c r="B114" s="6" t="s">
        <v>66</v>
      </c>
      <c r="C114" s="6"/>
      <c r="D114" s="7"/>
      <c r="E114" s="8"/>
      <c r="F114" s="7"/>
      <c r="G114" s="8"/>
      <c r="H114" s="8"/>
      <c r="I114" s="8"/>
      <c r="J114" s="8"/>
      <c r="K114" s="8"/>
      <c r="L114" s="8"/>
      <c r="M114" s="8"/>
      <c r="N114" s="8"/>
      <c r="O114" s="8"/>
      <c r="P114" s="9">
        <f>IFERROR(IF(ROW()-ROW(Dados14333444[[#Headers],[Total]])=1,Dados14333444[[#This Row],[Abril]]+Dados14333444[[#This Row],[Fevereiro]],SUM(INDEX(Dados14333444[Fevereiro],1,1):Dados14333444[[#This Row],[Fevereiro]],INDEX(Dados14333444[Abril],1,1):Dados14333444[[#This Row],[Abril]])),"")</f>
        <v>0</v>
      </c>
    </row>
    <row r="115" spans="2:16" ht="30" customHeight="1" x14ac:dyDescent="0.4">
      <c r="B115" s="6" t="s">
        <v>67</v>
      </c>
      <c r="C115" s="6"/>
      <c r="D115" s="7"/>
      <c r="E115" s="8"/>
      <c r="F115" s="7"/>
      <c r="G115" s="8"/>
      <c r="H115" s="8"/>
      <c r="I115" s="8"/>
      <c r="J115" s="8"/>
      <c r="K115" s="8"/>
      <c r="L115" s="8"/>
      <c r="M115" s="8"/>
      <c r="N115" s="8"/>
      <c r="O115" s="8"/>
      <c r="P115" s="9">
        <f>IFERROR(IF(ROW()-ROW(Dados14333444[[#Headers],[Total]])=1,Dados14333444[[#This Row],[Abril]]+Dados14333444[[#This Row],[Fevereiro]],SUM(INDEX(Dados14333444[Fevereiro],1,1):Dados14333444[[#This Row],[Fevereiro]],INDEX(Dados14333444[Abril],1,1):Dados14333444[[#This Row],[Abril]])),"")</f>
        <v>0</v>
      </c>
    </row>
    <row r="116" spans="2:16" ht="30" customHeight="1" x14ac:dyDescent="0.4">
      <c r="B116" s="6" t="s">
        <v>68</v>
      </c>
      <c r="C116" s="6"/>
      <c r="D116" s="7"/>
      <c r="E116" s="8"/>
      <c r="F116" s="7"/>
      <c r="G116" s="8"/>
      <c r="H116" s="8"/>
      <c r="I116" s="8"/>
      <c r="J116" s="8"/>
      <c r="K116" s="8"/>
      <c r="L116" s="8"/>
      <c r="M116" s="8"/>
      <c r="N116" s="8"/>
      <c r="O116" s="8"/>
      <c r="P116" s="9">
        <f>IFERROR(IF(ROW()-ROW(Dados14333444[[#Headers],[Total]])=1,Dados14333444[[#This Row],[Abril]]+Dados14333444[[#This Row],[Fevereiro]],SUM(INDEX(Dados14333444[Fevereiro],1,1):Dados14333444[[#This Row],[Fevereiro]],INDEX(Dados14333444[Abril],1,1):Dados14333444[[#This Row],[Abril]])),"")</f>
        <v>0</v>
      </c>
    </row>
    <row r="117" spans="2:16" ht="30" customHeight="1" x14ac:dyDescent="0.4">
      <c r="B117" s="6" t="s">
        <v>69</v>
      </c>
      <c r="C117" s="6"/>
      <c r="D117" s="7"/>
      <c r="E117" s="8"/>
      <c r="F117" s="7"/>
      <c r="G117" s="8"/>
      <c r="H117" s="8"/>
      <c r="I117" s="8"/>
      <c r="J117" s="8"/>
      <c r="K117" s="8"/>
      <c r="L117" s="8"/>
      <c r="M117" s="8"/>
      <c r="N117" s="8"/>
      <c r="O117" s="8"/>
      <c r="P117" s="9">
        <f>IFERROR(IF(ROW()-ROW(Dados14333444[[#Headers],[Total]])=1,Dados14333444[[#This Row],[Abril]]+Dados14333444[[#This Row],[Fevereiro]],SUM(INDEX(Dados14333444[Fevereiro],1,1):Dados14333444[[#This Row],[Fevereiro]],INDEX(Dados14333444[Abril],1,1):Dados14333444[[#This Row],[Abril]])),"")</f>
        <v>0</v>
      </c>
    </row>
    <row r="118" spans="2:16" ht="30" customHeight="1" x14ac:dyDescent="0.4">
      <c r="B118" s="6" t="s">
        <v>70</v>
      </c>
      <c r="C118" s="6"/>
      <c r="D118" s="7"/>
      <c r="E118" s="8"/>
      <c r="F118" s="7"/>
      <c r="G118" s="8"/>
      <c r="H118" s="8"/>
      <c r="I118" s="8"/>
      <c r="J118" s="8"/>
      <c r="K118" s="8"/>
      <c r="L118" s="8"/>
      <c r="M118" s="8"/>
      <c r="N118" s="8"/>
      <c r="O118" s="8"/>
      <c r="P118" s="9">
        <f>IFERROR(IF(ROW()-ROW(Dados14333444[[#Headers],[Total]])=1,Dados14333444[[#This Row],[Abril]]+Dados14333444[[#This Row],[Fevereiro]],SUM(INDEX(Dados14333444[Fevereiro],1,1):Dados14333444[[#This Row],[Fevereiro]],INDEX(Dados14333444[Abril],1,1):Dados14333444[[#This Row],[Abril]])),"")</f>
        <v>0</v>
      </c>
    </row>
    <row r="119" spans="2:16" ht="30" customHeight="1" x14ac:dyDescent="0.4">
      <c r="B119" s="6"/>
      <c r="C119" s="6"/>
      <c r="D119" s="7"/>
      <c r="E119" s="8"/>
      <c r="F119" s="7"/>
      <c r="G119" s="8"/>
      <c r="H119" s="8"/>
      <c r="I119" s="8"/>
      <c r="J119" s="8"/>
      <c r="K119" s="8"/>
      <c r="L119" s="8"/>
      <c r="M119" s="8"/>
      <c r="N119" s="8"/>
      <c r="O119" s="8"/>
      <c r="P119" s="9">
        <f>IFERROR(IF(ROW()-ROW(Dados14333444[[#Headers],[Total]])=1,Dados14333444[[#This Row],[Abril]]+Dados14333444[[#This Row],[Fevereiro]],SUM(INDEX(Dados14333444[Fevereiro],1,1):Dados14333444[[#This Row],[Fevereiro]],INDEX(Dados14333444[Abril],1,1):Dados14333444[[#This Row],[Abril]])),"")</f>
        <v>0</v>
      </c>
    </row>
    <row r="120" spans="2:16" ht="30" customHeight="1" x14ac:dyDescent="0.4">
      <c r="B120" s="3" t="s">
        <v>16</v>
      </c>
      <c r="C120" s="3"/>
      <c r="D120" s="17">
        <f>SUBTOTAL(109,Dados14333444[Janeiro])</f>
        <v>0</v>
      </c>
      <c r="E120" s="17">
        <f>SUBTOTAL(109,Dados14333444[Fevereiro])</f>
        <v>0</v>
      </c>
      <c r="F120" s="17">
        <f>SUBTOTAL(109,Dados14333444[Março])</f>
        <v>0</v>
      </c>
      <c r="G120" s="17">
        <f>SUBTOTAL(109,Dados14333444[Abril])</f>
        <v>0</v>
      </c>
      <c r="H120" s="17">
        <f>SUBTOTAL(109,Dados14333444[Maio])</f>
        <v>0</v>
      </c>
      <c r="I120" s="17">
        <f>SUBTOTAL(109,Dados14333444[Junho])</f>
        <v>0</v>
      </c>
      <c r="J120" s="17">
        <f>SUBTOTAL(109,Dados14333444[Julho])</f>
        <v>0</v>
      </c>
      <c r="K120" s="17">
        <f>SUBTOTAL(109,Dados14333444[Agosto])</f>
        <v>0</v>
      </c>
      <c r="L120" s="17">
        <f>SUBTOTAL(109,Dados14333444[Setembro])</f>
        <v>0</v>
      </c>
      <c r="M120" s="17">
        <f>SUBTOTAL(109,Dados14333444[Outubro])</f>
        <v>0</v>
      </c>
      <c r="N120" s="17">
        <f>SUBTOTAL(109,Dados14333444[Novembro])</f>
        <v>0</v>
      </c>
      <c r="O120" s="17">
        <f>SUBTOTAL(109,Dados14333444[Dezembro])</f>
        <v>816</v>
      </c>
      <c r="P120" s="3"/>
    </row>
  </sheetData>
  <dataValidations count="5">
    <dataValidation allowBlank="1" showInputMessage="1" showErrorMessage="1" prompt="O valor do saldo sem juros é calculado automaticamente na coluna sob este cabeçalho" sqref="P3 P23 P83 P43 P62 P103" xr:uid="{00000000-0002-0000-0200-000000000000}"/>
    <dataValidation allowBlank="1" showInputMessage="1" showErrorMessage="1" prompt="Insira a descrição na coluna sob este cabeçalho" sqref="D3:O3 D23:O23 D83:O83 D43:O43 D62:O62 D103:O103" xr:uid="{00000000-0002-0000-0200-000001000000}"/>
    <dataValidation allowBlank="1" showInputMessage="1" showErrorMessage="1" prompt="Insira a data na coluna sob este cabeçalho" sqref="B3:C3 B23:C23 B83:C83 B43:C43 B62:C62 B103:C103" xr:uid="{00000000-0002-0000-0200-000002000000}"/>
    <dataValidation allowBlank="1" showInputMessage="1" showErrorMessage="1" prompt="O título da planilha está nesta célula. Insira o nome do cartão de crédito para atualizar o título" sqref="B1:C1" xr:uid="{00000000-0002-0000-0200-000003000000}"/>
    <dataValidation allowBlank="1" showInputMessage="1" showErrorMessage="1" prompt="Crie um registro do cartão de crédito nesta planilha" sqref="A1" xr:uid="{00000000-0002-0000-0200-000004000000}"/>
  </dataValidations>
  <printOptions horizontalCentered="1"/>
  <pageMargins left="0.40000000000000008" right="0.40000000000000008" top="0.40000000000000008" bottom="0.40000000000000008" header="0.3" footer="0.3"/>
  <pageSetup paperSize="9" scale="57" fitToHeight="0" orientation="landscape"/>
  <headerFooter differentFirst="1">
    <oddFooter>&amp;CPage &amp;P of &amp;N</oddFooter>
  </headerFooter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  <pageSetUpPr fitToPage="1"/>
  </sheetPr>
  <dimension ref="B1:P132"/>
  <sheetViews>
    <sheetView showGridLines="0" topLeftCell="A67" zoomScale="90" workbookViewId="0">
      <selection activeCell="E138" sqref="E138"/>
    </sheetView>
  </sheetViews>
  <sheetFormatPr defaultColWidth="8.88671875" defaultRowHeight="30" customHeight="1" x14ac:dyDescent="0.4"/>
  <cols>
    <col min="1" max="1" width="2.6640625" customWidth="1"/>
    <col min="2" max="2" width="29.21875" customWidth="1"/>
    <col min="3" max="3" width="22" bestFit="1" customWidth="1"/>
    <col min="4" max="4" width="10.21875" bestFit="1" customWidth="1"/>
    <col min="5" max="15" width="12.109375" bestFit="1" customWidth="1"/>
    <col min="16" max="16" width="12.109375" hidden="1" customWidth="1"/>
    <col min="17" max="17" width="2.6640625" customWidth="1"/>
  </cols>
  <sheetData>
    <row r="1" spans="2:16" ht="60.75" customHeight="1" x14ac:dyDescent="0.4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2:16" ht="45" customHeight="1" x14ac:dyDescent="0.4">
      <c r="B2" s="2" t="s">
        <v>77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54.95" customHeight="1" x14ac:dyDescent="0.4">
      <c r="B3" s="3" t="s">
        <v>2</v>
      </c>
      <c r="C3" s="3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5" t="s">
        <v>16</v>
      </c>
    </row>
    <row r="4" spans="2:16" ht="30" customHeight="1" x14ac:dyDescent="0.4">
      <c r="B4" s="6" t="s">
        <v>24</v>
      </c>
      <c r="C4" s="6"/>
      <c r="D4" s="7">
        <f>1899.03+160.31-155.23</f>
        <v>1904.1100000000001</v>
      </c>
      <c r="E4" s="8">
        <f>2059.34-168.84</f>
        <v>1890.5000000000002</v>
      </c>
      <c r="F4" s="7">
        <f>2059.34-168.7-1.5</f>
        <v>1889.14</v>
      </c>
      <c r="G4" s="8">
        <f>2121.12-174.4</f>
        <v>1946.7199999999998</v>
      </c>
      <c r="H4" s="8">
        <f>2121.12-179.21</f>
        <v>1941.9099999999999</v>
      </c>
      <c r="I4" s="8">
        <f>2121.12-292.35</f>
        <v>1828.77</v>
      </c>
      <c r="J4" s="8">
        <v>2121.12</v>
      </c>
      <c r="K4" s="8">
        <v>2121.12</v>
      </c>
      <c r="L4" s="8">
        <v>2121.12</v>
      </c>
      <c r="M4" s="8">
        <v>2121.12</v>
      </c>
      <c r="N4" s="8">
        <v>2121.12</v>
      </c>
      <c r="O4" s="8">
        <v>2121.12</v>
      </c>
      <c r="P4" s="9">
        <f>IFERROR(IF(ROW()-ROW(Dados1415[[#Headers],[Total]])=1,Dados1415[[#This Row],[Abril]]+Dados1415[[#This Row],[Fevereiro]],SUM(INDEX(Dados1415[Fevereiro],1,1):Dados1415[[#This Row],[Fevereiro]],INDEX(Dados1415[Abril],1,1):Dados1415[[#This Row],[Abril]])), "")</f>
        <v>3837.2200000000003</v>
      </c>
    </row>
    <row r="5" spans="2:16" ht="30" customHeight="1" x14ac:dyDescent="0.4">
      <c r="B5" s="6" t="s">
        <v>47</v>
      </c>
      <c r="C5" s="6"/>
      <c r="D5" s="7">
        <f>1800+200-213.22</f>
        <v>1786.78</v>
      </c>
      <c r="E5" s="7">
        <f>1800+200</f>
        <v>2000</v>
      </c>
      <c r="F5" s="7">
        <f>1800+200-29.05</f>
        <v>1970.95</v>
      </c>
      <c r="G5" s="7">
        <f>1854+200-3.46</f>
        <v>2050.54</v>
      </c>
      <c r="H5" s="7">
        <f>1854+200</f>
        <v>2054</v>
      </c>
      <c r="I5" s="7">
        <f>1854+200</f>
        <v>2054</v>
      </c>
      <c r="J5" s="7">
        <f>1854+200</f>
        <v>2054</v>
      </c>
      <c r="K5" s="7">
        <f>1854+200</f>
        <v>2054</v>
      </c>
      <c r="L5" s="7">
        <f>1854+200-36.32</f>
        <v>2017.68</v>
      </c>
      <c r="M5" s="7">
        <f>1854+200</f>
        <v>2054</v>
      </c>
      <c r="N5" s="7">
        <f>1854+200</f>
        <v>2054</v>
      </c>
      <c r="O5" s="7">
        <f>1854+200</f>
        <v>2054</v>
      </c>
      <c r="P5" s="9">
        <f>IFERROR(IF(ROW()-ROW(Dados1415[[#Headers],[Total]])=1,Dados1415[[#This Row],[Abril]]+Dados1415[[#This Row],[Fevereiro]],SUM(INDEX(Dados1415[Fevereiro],1,1):Dados1415[[#This Row],[Fevereiro]],INDEX(Dados1415[Abril],1,1):Dados1415[[#This Row],[Abril]])),"")</f>
        <v>7887.7599999999993</v>
      </c>
    </row>
    <row r="6" spans="2:16" ht="30" customHeight="1" x14ac:dyDescent="0.4">
      <c r="B6" s="6" t="s">
        <v>21</v>
      </c>
      <c r="C6" s="6"/>
      <c r="D6" s="7">
        <f>1800+350</f>
        <v>2150</v>
      </c>
      <c r="E6" s="7">
        <f>1800+350</f>
        <v>2150</v>
      </c>
      <c r="F6" s="7">
        <f>1800+350</f>
        <v>2150</v>
      </c>
      <c r="G6" s="8">
        <f>1854+350</f>
        <v>2204</v>
      </c>
      <c r="H6" s="8">
        <f>1854+350-71.46</f>
        <v>2132.54</v>
      </c>
      <c r="I6" s="8">
        <f>1854+350</f>
        <v>2204</v>
      </c>
      <c r="J6" s="8">
        <f>1854+350-9.61</f>
        <v>2194.39</v>
      </c>
      <c r="K6" s="8">
        <f>1854+350-11.46-55.62-55.62</f>
        <v>2081.3000000000002</v>
      </c>
      <c r="L6" s="8">
        <f>1854+350-55.62-94.3</f>
        <v>2054.08</v>
      </c>
      <c r="M6" s="8">
        <f>1854+350+55.62</f>
        <v>2259.62</v>
      </c>
      <c r="N6" s="8">
        <f>1854+350-59.5</f>
        <v>2144.5</v>
      </c>
      <c r="O6" s="8">
        <f>1854+350</f>
        <v>2204</v>
      </c>
      <c r="P6" s="9">
        <f>IFERROR(IF(ROW()-ROW(Dados1415[[#Headers],[Total]])=1,Dados1415[[#This Row],[Abril]]+Dados1415[[#This Row],[Fevereiro]],SUM(INDEX(Dados1415[Fevereiro],1,1):Dados1415[[#This Row],[Fevereiro]],INDEX(Dados1415[Abril],1,1):Dados1415[[#This Row],[Abril]])),"")</f>
        <v>12241.759999999998</v>
      </c>
    </row>
    <row r="7" spans="2:16" ht="30" customHeight="1" x14ac:dyDescent="0.4">
      <c r="B7" s="6" t="s">
        <v>23</v>
      </c>
      <c r="C7" s="6"/>
      <c r="D7" s="7">
        <v>1600</v>
      </c>
      <c r="E7" s="8">
        <v>1600</v>
      </c>
      <c r="F7" s="7">
        <v>1604</v>
      </c>
      <c r="G7" s="8">
        <f>1604-16.91</f>
        <v>1587.09</v>
      </c>
      <c r="H7" s="8">
        <v>1604</v>
      </c>
      <c r="I7" s="8">
        <f>1604-39.23</f>
        <v>1564.77</v>
      </c>
      <c r="J7" s="8">
        <f>1604-3.43</f>
        <v>1600.57</v>
      </c>
      <c r="K7" s="8">
        <v>1604</v>
      </c>
      <c r="L7" s="8">
        <f>1604-32.52</f>
        <v>1571.48</v>
      </c>
      <c r="M7" s="8">
        <f>1604-1.46</f>
        <v>1602.54</v>
      </c>
      <c r="N7" s="8">
        <v>1604</v>
      </c>
      <c r="O7" s="8"/>
      <c r="P7" s="9">
        <f>IFERROR(IF(ROW()-ROW(Dados1415[[#Headers],[Total]])=1,Dados1415[[#This Row],[Abril]]+Dados1415[[#This Row],[Fevereiro]],SUM(INDEX(Dados1415[Fevereiro],1,1):Dados1415[[#This Row],[Fevereiro]],INDEX(Dados1415[Abril],1,1):Dados1415[[#This Row],[Abril]])),"")</f>
        <v>15428.849999999999</v>
      </c>
    </row>
    <row r="8" spans="2:16" ht="30" customHeight="1" x14ac:dyDescent="0.4">
      <c r="B8" s="6" t="s">
        <v>60</v>
      </c>
      <c r="C8" s="6"/>
      <c r="D8" s="7">
        <f>840-10</f>
        <v>830</v>
      </c>
      <c r="E8" s="8">
        <v>1213</v>
      </c>
      <c r="F8" s="7">
        <v>1300</v>
      </c>
      <c r="G8" s="8">
        <f>1395.65-3.49</f>
        <v>1392.16</v>
      </c>
      <c r="H8" s="8">
        <v>1395.65</v>
      </c>
      <c r="I8" s="8">
        <f>1395.65-7.55-63.62</f>
        <v>1324.4800000000002</v>
      </c>
      <c r="J8" s="8">
        <f>1395.65-20.24</f>
        <v>1375.41</v>
      </c>
      <c r="K8" s="8">
        <f>1395.65-3.05</f>
        <v>1392.6000000000001</v>
      </c>
      <c r="L8" s="8">
        <f>1395.65-41.11</f>
        <v>1354.5400000000002</v>
      </c>
      <c r="M8" s="8">
        <f>1395.65-7.8</f>
        <v>1387.8500000000001</v>
      </c>
      <c r="N8" s="8">
        <f>1395.65-33.43</f>
        <v>1362.22</v>
      </c>
      <c r="O8" s="8">
        <f>1395.65-1.02</f>
        <v>1394.63</v>
      </c>
      <c r="P8" s="9">
        <f>IFERROR(IF(ROW()-ROW(Dados1415[[#Headers],[Total]])=1,Dados1415[[#This Row],[Abril]]+Dados1415[[#This Row],[Fevereiro]],SUM(INDEX(Dados1415[Fevereiro],1,1):Dados1415[[#This Row],[Fevereiro]],INDEX(Dados1415[Abril],1,1):Dados1415[[#This Row],[Abril]])),"")</f>
        <v>18034.009999999998</v>
      </c>
    </row>
    <row r="9" spans="2:16" ht="30" customHeight="1" x14ac:dyDescent="0.4">
      <c r="B9" s="6" t="s">
        <v>17</v>
      </c>
      <c r="C9" s="6"/>
      <c r="D9" s="7">
        <v>1190</v>
      </c>
      <c r="E9" s="8">
        <v>1586.67</v>
      </c>
      <c r="F9" s="7">
        <f>1500+200</f>
        <v>1700</v>
      </c>
      <c r="G9" s="8">
        <f>1503.75+200</f>
        <v>1703.75</v>
      </c>
      <c r="H9" s="8">
        <f>1503.75+200</f>
        <v>1703.75</v>
      </c>
      <c r="I9" s="8">
        <f>1503.75+260-1.91</f>
        <v>1761.84</v>
      </c>
      <c r="J9" s="8">
        <f>1503.75+260</f>
        <v>1763.75</v>
      </c>
      <c r="K9" s="8">
        <f>1503.75+260-2.6</f>
        <v>1761.15</v>
      </c>
      <c r="L9" s="8">
        <f>1503.75+260-14.15</f>
        <v>1749.6</v>
      </c>
      <c r="M9" s="8">
        <f>1503.75+260</f>
        <v>1763.75</v>
      </c>
      <c r="N9" s="8">
        <f>1503.75+260</f>
        <v>1763.75</v>
      </c>
      <c r="O9" s="8">
        <f>1503.75+260-1.23</f>
        <v>1762.52</v>
      </c>
      <c r="P9" s="9">
        <f>IFERROR(IF(ROW()-ROW(Dados1415[[#Headers],[Total]])=1,Dados1415[[#This Row],[Abril]]+Dados1415[[#This Row],[Fevereiro]],SUM(INDEX(Dados1415[Fevereiro],1,1):Dados1415[[#This Row],[Fevereiro]],INDEX(Dados1415[Abril],1,1):Dados1415[[#This Row],[Abril]])),"")</f>
        <v>21324.43</v>
      </c>
    </row>
    <row r="10" spans="2:16" ht="30" customHeight="1" x14ac:dyDescent="0.4">
      <c r="B10" s="6" t="s">
        <v>25</v>
      </c>
      <c r="C10" s="6"/>
      <c r="D10" s="7"/>
      <c r="E10" s="8">
        <v>175.2</v>
      </c>
      <c r="F10" s="7">
        <f>1100-71.64</f>
        <v>1028.3599999999999</v>
      </c>
      <c r="G10" s="8">
        <f>1122.7-7.55-84.08</f>
        <v>1031.0700000000002</v>
      </c>
      <c r="H10" s="8">
        <f>1122.7-2.19-84.63</f>
        <v>1035.8800000000001</v>
      </c>
      <c r="I10" s="8">
        <f>1122.7-84.54</f>
        <v>1038.1600000000001</v>
      </c>
      <c r="J10" s="8">
        <f>1122.7-25.87-82.26</f>
        <v>1014.5700000000002</v>
      </c>
      <c r="K10" s="8">
        <f>1122.7-27.81-82.11</f>
        <v>1012.7800000000001</v>
      </c>
      <c r="L10" s="8">
        <f>1122.7-7.71-83.84</f>
        <v>1031.1500000000001</v>
      </c>
      <c r="M10" s="8">
        <f>1122.7-108.85-76.25</f>
        <v>937.6</v>
      </c>
      <c r="N10" s="8">
        <f>1400-301-83.67</f>
        <v>1015.33</v>
      </c>
      <c r="O10" s="8">
        <f>1400-39.07-105.98</f>
        <v>1254.95</v>
      </c>
      <c r="P10" s="9">
        <f>IFERROR(IF(ROW()-ROW(Dados1415[[#Headers],[Total]])=1,Dados1415[[#This Row],[Abril]]+Dados1415[[#This Row],[Fevereiro]],SUM(INDEX(Dados1415[Fevereiro],1,1):Dados1415[[#This Row],[Fevereiro]],INDEX(Dados1415[Abril],1,1):Dados1415[[#This Row],[Abril]])),"")</f>
        <v>22530.7</v>
      </c>
    </row>
    <row r="11" spans="2:16" ht="30" customHeight="1" x14ac:dyDescent="0.4">
      <c r="B11" s="6" t="s">
        <v>61</v>
      </c>
      <c r="C11" s="6"/>
      <c r="D11" s="7">
        <f>1090-82.42</f>
        <v>1007.58</v>
      </c>
      <c r="E11" s="8">
        <f>1100-82.5</f>
        <v>1017.5</v>
      </c>
      <c r="F11" s="7">
        <f>1100-2.95-82.27</f>
        <v>1014.78</v>
      </c>
      <c r="G11" s="8">
        <f>1395.65+51.27-0.76-113.07</f>
        <v>1333.0900000000001</v>
      </c>
      <c r="H11" s="8">
        <f>1395.65+51.27-109.35</f>
        <v>1337.5700000000002</v>
      </c>
      <c r="I11" s="8">
        <f>1395.65+51.27-109.1</f>
        <v>1337.8200000000002</v>
      </c>
      <c r="J11" s="8">
        <f>1395.65+51.27-6.53-108.67</f>
        <v>1331.72</v>
      </c>
      <c r="K11" s="8">
        <f>1395.65+51.27-109.36</f>
        <v>1337.5600000000002</v>
      </c>
      <c r="L11" s="8">
        <f>1395.65+51.27-110.19</f>
        <v>1336.73</v>
      </c>
      <c r="M11" s="8">
        <f>1395.65+51.27-16.43-108.14</f>
        <v>1322.35</v>
      </c>
      <c r="N11" s="8">
        <f>1395.65+51.27-0.95-111.71</f>
        <v>1334.26</v>
      </c>
      <c r="O11" s="8">
        <f t="shared" ref="O11:O12" si="0">1395.65-73.27</f>
        <v>1322.38</v>
      </c>
      <c r="P11" s="9">
        <f>IFERROR(IF(ROW()-ROW(Dados1415[[#Headers],[Total]])=1,Dados1415[[#This Row],[Abril]]+Dados1415[[#This Row],[Fevereiro]],SUM(INDEX(Dados1415[Fevereiro],1,1):Dados1415[[#This Row],[Fevereiro]],INDEX(Dados1415[Abril],1,1):Dados1415[[#This Row],[Abril]])),"")</f>
        <v>24881.29</v>
      </c>
    </row>
    <row r="12" spans="2:16" ht="30" customHeight="1" x14ac:dyDescent="0.4">
      <c r="B12" s="6" t="s">
        <v>78</v>
      </c>
      <c r="C12" s="6"/>
      <c r="D12" s="7">
        <f>1090-33.48</f>
        <v>1056.52</v>
      </c>
      <c r="E12" s="8">
        <f>1100-82.5-65.2</f>
        <v>952.3</v>
      </c>
      <c r="F12" s="7">
        <f>1100-82.5-65.2</f>
        <v>952.3</v>
      </c>
      <c r="G12" s="8">
        <f>1395.65-107.69-19.22</f>
        <v>1268.74</v>
      </c>
      <c r="H12" s="8">
        <f>1395.65-109.1-41.86</f>
        <v>1244.6900000000003</v>
      </c>
      <c r="I12" s="8">
        <f>1395.65-109.54-41.86</f>
        <v>1244.2500000000002</v>
      </c>
      <c r="J12" s="8">
        <f>1395.65-110.19</f>
        <v>1285.46</v>
      </c>
      <c r="K12" s="8">
        <f>1395.65-108.97-1.52</f>
        <v>1285.1600000000001</v>
      </c>
      <c r="L12" s="8">
        <f>1395.65-95.95-146.1</f>
        <v>1153.6000000000001</v>
      </c>
      <c r="M12" s="8">
        <f>1395.65-111.63</f>
        <v>1284.02</v>
      </c>
      <c r="N12" s="8">
        <f>1395.65-120.21</f>
        <v>1275.44</v>
      </c>
      <c r="O12" s="8">
        <f t="shared" si="0"/>
        <v>1322.38</v>
      </c>
      <c r="P12" s="9">
        <f>IFERROR(IF(ROW()-ROW(Dados1415[[#Headers],[Total]])=1,Dados1415[[#This Row],[Abril]]+Dados1415[[#This Row],[Fevereiro]],SUM(INDEX(Dados1415[Fevereiro],1,1):Dados1415[[#This Row],[Fevereiro]],INDEX(Dados1415[Abril],1,1):Dados1415[[#This Row],[Abril]])),"")</f>
        <v>27102.33</v>
      </c>
    </row>
    <row r="13" spans="2:16" ht="30" customHeight="1" x14ac:dyDescent="0.4">
      <c r="B13" s="6" t="s">
        <v>63</v>
      </c>
      <c r="C13" s="6"/>
      <c r="D13" s="7">
        <f>1090-0.69-82.35-32.7</f>
        <v>974.25999999999988</v>
      </c>
      <c r="E13" s="8">
        <f>1100-82.5-33</f>
        <v>984.5</v>
      </c>
      <c r="F13" s="7">
        <f>1100-82.5-33</f>
        <v>984.5</v>
      </c>
      <c r="G13" s="8">
        <f>1122.7-84.62-33</f>
        <v>1005.0799999999999</v>
      </c>
      <c r="H13" s="8">
        <f>1122.7-22.1-82.86-33.68</f>
        <v>984.06000000000017</v>
      </c>
      <c r="I13" s="8">
        <f>1122.7-84.54-67.36</f>
        <v>970.80000000000007</v>
      </c>
      <c r="J13" s="8">
        <f>1122.7-1.84-84.67-67.36</f>
        <v>968.83</v>
      </c>
      <c r="K13" s="8">
        <f>1122.7-6.89-84-67.36</f>
        <v>964.44999999999993</v>
      </c>
      <c r="L13" s="8">
        <f>1122.7-12.66-83.49-67.36</f>
        <v>959.18999999999994</v>
      </c>
      <c r="M13" s="8">
        <f>1122.7-67.72+79.92-67.36</f>
        <v>1067.5400000000002</v>
      </c>
      <c r="N13" s="8">
        <f>1122.7-26.33-83.54-67.36</f>
        <v>945.47000000000014</v>
      </c>
      <c r="O13" s="8">
        <f>1122.7-2.25-84.52</f>
        <v>1035.93</v>
      </c>
      <c r="P13" s="9">
        <f>IFERROR(IF(ROW()-ROW(Dados1415[[#Headers],[Total]])=1,Dados1415[[#This Row],[Abril]]+Dados1415[[#This Row],[Fevereiro]],SUM(INDEX(Dados1415[Fevereiro],1,1):Dados1415[[#This Row],[Fevereiro]],INDEX(Dados1415[Abril],1,1):Dados1415[[#This Row],[Abril]])),"")</f>
        <v>29091.910000000003</v>
      </c>
    </row>
    <row r="14" spans="2:16" ht="30" customHeight="1" x14ac:dyDescent="0.4">
      <c r="B14" s="6" t="s">
        <v>64</v>
      </c>
      <c r="C14" s="6"/>
      <c r="D14" s="7">
        <f>1600+300-40.29</f>
        <v>1859.71</v>
      </c>
      <c r="E14" s="7">
        <f>1600+300-16.87</f>
        <v>1883.13</v>
      </c>
      <c r="F14" s="7">
        <f>1600+300-44.58</f>
        <v>1855.42</v>
      </c>
      <c r="G14" s="8">
        <f>1648+402-1.72</f>
        <v>2048.2800000000002</v>
      </c>
      <c r="H14" s="8">
        <f>1648+402</f>
        <v>2050</v>
      </c>
      <c r="I14" s="8">
        <f>1648+402</f>
        <v>2050</v>
      </c>
      <c r="J14" s="8">
        <f>1648+402-76.78</f>
        <v>1973.22</v>
      </c>
      <c r="K14" s="8">
        <f>1648+402-1.72</f>
        <v>2048.2800000000002</v>
      </c>
      <c r="L14" s="8">
        <f>1648+402-38.65</f>
        <v>2011.35</v>
      </c>
      <c r="M14" s="8"/>
      <c r="N14" s="8"/>
      <c r="O14" s="8"/>
      <c r="P14" s="9">
        <f>IFERROR(IF(ROW()-ROW(Dados1415[[#Headers],[Total]])=1,Dados1415[[#This Row],[Abril]]+Dados1415[[#This Row],[Fevereiro]],SUM(INDEX(Dados1415[Fevereiro],1,1):Dados1415[[#This Row],[Fevereiro]],INDEX(Dados1415[Abril],1,1):Dados1415[[#This Row],[Abril]])),"")</f>
        <v>33023.32</v>
      </c>
    </row>
    <row r="15" spans="2:16" ht="30" customHeight="1" x14ac:dyDescent="0.4">
      <c r="B15" s="6" t="s">
        <v>65</v>
      </c>
      <c r="C15" s="6"/>
      <c r="D15" s="7">
        <f>1300-40.55</f>
        <v>1259.45</v>
      </c>
      <c r="E15" s="8">
        <f>1300-107.57</f>
        <v>1192.43</v>
      </c>
      <c r="F15" s="7">
        <f>1300-101.34-1.77</f>
        <v>1196.8900000000001</v>
      </c>
      <c r="G15" s="8">
        <f>1395.65-108.56-7.3</f>
        <v>1279.7900000000002</v>
      </c>
      <c r="H15" s="8">
        <f>1395.65-110.7</f>
        <v>1284.95</v>
      </c>
      <c r="I15" s="8">
        <f>1395.65-111.43-21.38</f>
        <v>1262.8399999999999</v>
      </c>
      <c r="J15" s="8">
        <f>1395.65-108.92-3.68-150</f>
        <v>1133.05</v>
      </c>
      <c r="K15" s="8">
        <f>1395.65-107.87-14.97</f>
        <v>1272.8100000000002</v>
      </c>
      <c r="L15" s="8">
        <f>1395.65-111.29</f>
        <v>1284.3600000000001</v>
      </c>
      <c r="M15" s="8"/>
      <c r="N15" s="8"/>
      <c r="O15" s="8"/>
      <c r="P15" s="9">
        <f>IFERROR(IF(ROW()-ROW(Dados1415[[#Headers],[Total]])=1,Dados1415[[#This Row],[Abril]]+Dados1415[[#This Row],[Fevereiro]],SUM(INDEX(Dados1415[Fevereiro],1,1):Dados1415[[#This Row],[Fevereiro]],INDEX(Dados1415[Abril],1,1):Dados1415[[#This Row],[Abril]])),"")</f>
        <v>35495.54</v>
      </c>
    </row>
    <row r="16" spans="2:16" ht="30" customHeight="1" x14ac:dyDescent="0.4">
      <c r="B16" s="6" t="s">
        <v>66</v>
      </c>
      <c r="C16" s="6"/>
      <c r="D16" s="7">
        <f>1190-81.6</f>
        <v>1108.4000000000001</v>
      </c>
      <c r="E16" s="8">
        <v>1586.67</v>
      </c>
      <c r="F16" s="7">
        <f>1700-23.52</f>
        <v>1676.48</v>
      </c>
      <c r="G16" s="8">
        <f>1703.75-100.27</f>
        <v>1603.48</v>
      </c>
      <c r="H16" s="8"/>
      <c r="I16" s="8"/>
      <c r="J16" s="8"/>
      <c r="K16" s="8"/>
      <c r="L16" s="8"/>
      <c r="M16" s="8"/>
      <c r="N16" s="8"/>
      <c r="O16" s="8"/>
      <c r="P16" s="9">
        <f>IFERROR(IF(ROW()-ROW(Dados1415[[#Headers],[Total]])=1,Dados1415[[#This Row],[Abril]]+Dados1415[[#This Row],[Fevereiro]],SUM(INDEX(Dados1415[Fevereiro],1,1):Dados1415[[#This Row],[Fevereiro]],INDEX(Dados1415[Abril],1,1):Dados1415[[#This Row],[Abril]])),"")</f>
        <v>38685.69000000001</v>
      </c>
    </row>
    <row r="17" spans="2:16" ht="30" customHeight="1" x14ac:dyDescent="0.4">
      <c r="B17" s="6" t="s">
        <v>79</v>
      </c>
      <c r="C17" s="6"/>
      <c r="D17" s="7"/>
      <c r="E17" s="8"/>
      <c r="F17" s="7"/>
      <c r="G17" s="8"/>
      <c r="H17" s="8">
        <v>800</v>
      </c>
      <c r="I17" s="8">
        <v>2000</v>
      </c>
      <c r="J17" s="8">
        <v>1800</v>
      </c>
      <c r="K17" s="8">
        <v>1800</v>
      </c>
      <c r="L17" s="8">
        <v>1800</v>
      </c>
      <c r="M17" s="8">
        <f>1800-3.71</f>
        <v>1796.29</v>
      </c>
      <c r="N17" s="8">
        <f>1600+200-66.98</f>
        <v>1733.02</v>
      </c>
      <c r="O17" s="8">
        <f>1600+200-1.31</f>
        <v>1798.69</v>
      </c>
      <c r="P17" s="9">
        <f>IFERROR(IF(ROW()-ROW(Dados1415[[#Headers],[Total]])=1,Dados1415[[#This Row],[Abril]]+Dados1415[[#This Row],[Fevereiro]],SUM(INDEX(Dados1415[Fevereiro],1,1):Dados1415[[#This Row],[Fevereiro]],INDEX(Dados1415[Abril],1,1):Dados1415[[#This Row],[Abril]])),"")</f>
        <v>38685.69000000001</v>
      </c>
    </row>
    <row r="18" spans="2:16" ht="30" customHeight="1" x14ac:dyDescent="0.4">
      <c r="B18" s="6" t="s">
        <v>80</v>
      </c>
      <c r="C18" s="6"/>
      <c r="D18" s="7"/>
      <c r="E18" s="8"/>
      <c r="F18" s="7"/>
      <c r="G18" s="8"/>
      <c r="H18" s="8"/>
      <c r="I18" s="8"/>
      <c r="J18" s="8"/>
      <c r="K18" s="8"/>
      <c r="L18" s="8"/>
      <c r="M18" s="8"/>
      <c r="N18" s="8">
        <v>605.63</v>
      </c>
      <c r="O18" s="8">
        <v>204.12</v>
      </c>
      <c r="P18" s="9">
        <f>IFERROR(IF(ROW()-ROW(Dados1415[[#Headers],[Total]])=1,Dados1415[[#This Row],[Abril]]+Dados1415[[#This Row],[Fevereiro]],SUM(INDEX(Dados1415[Fevereiro],1,1):Dados1415[[#This Row],[Fevereiro]],INDEX(Dados1415[Abril],1,1):Dados1415[[#This Row],[Abril]])),"")</f>
        <v>38685.69000000001</v>
      </c>
    </row>
    <row r="19" spans="2:16" ht="30" customHeight="1" x14ac:dyDescent="0.4">
      <c r="B19" s="6" t="s">
        <v>81</v>
      </c>
      <c r="C19" s="6"/>
      <c r="D19" s="7"/>
      <c r="E19" s="8"/>
      <c r="F19" s="7"/>
      <c r="G19" s="8"/>
      <c r="H19" s="8"/>
      <c r="I19" s="8"/>
      <c r="J19" s="8"/>
      <c r="K19" s="8"/>
      <c r="L19" s="8"/>
      <c r="M19" s="8"/>
      <c r="N19" s="8"/>
      <c r="O19" s="8"/>
      <c r="P19" s="9">
        <f>IFERROR(IF(ROW()-ROW(Dados1415[[#Headers],[Total]])=1,Dados1415[[#This Row],[Abril]]+Dados1415[[#This Row],[Fevereiro]],SUM(INDEX(Dados1415[Fevereiro],1,1):Dados1415[[#This Row],[Fevereiro]],INDEX(Dados1415[Abril],1,1):Dados1415[[#This Row],[Abril]])),"")</f>
        <v>38685.69000000001</v>
      </c>
    </row>
    <row r="20" spans="2:16" ht="30" customHeight="1" x14ac:dyDescent="0.4">
      <c r="B20" s="6" t="s">
        <v>82</v>
      </c>
      <c r="C20" s="6"/>
      <c r="D20" s="7"/>
      <c r="E20" s="8"/>
      <c r="F20" s="7"/>
      <c r="G20" s="8"/>
      <c r="H20" s="8">
        <v>304</v>
      </c>
      <c r="I20" s="8">
        <f>700-11</f>
        <v>689</v>
      </c>
      <c r="J20" s="8">
        <f>700-11</f>
        <v>689</v>
      </c>
      <c r="K20" s="8">
        <v>700</v>
      </c>
      <c r="L20" s="8"/>
      <c r="M20" s="8"/>
      <c r="N20" s="8"/>
      <c r="O20" s="8"/>
      <c r="P20" s="9">
        <f>IFERROR(IF(ROW()-ROW(Dados1415[[#Headers],[Total]])=1,Dados1415[[#This Row],[Abril]]+Dados1415[[#This Row],[Fevereiro]],SUM(INDEX(Dados1415[Fevereiro],1,1):Dados1415[[#This Row],[Fevereiro]],INDEX(Dados1415[Abril],1,1):Dados1415[[#This Row],[Abril]])),"")</f>
        <v>38685.69000000001</v>
      </c>
    </row>
    <row r="21" spans="2:16" ht="30" customHeight="1" x14ac:dyDescent="0.4">
      <c r="B21" s="6" t="s">
        <v>83</v>
      </c>
      <c r="C21" s="6"/>
      <c r="D21" s="7"/>
      <c r="E21" s="8"/>
      <c r="F21" s="7"/>
      <c r="G21" s="8"/>
      <c r="H21" s="8"/>
      <c r="I21" s="8"/>
      <c r="J21" s="8">
        <v>132.86000000000001</v>
      </c>
      <c r="K21" s="8"/>
      <c r="L21" s="8"/>
      <c r="M21" s="8"/>
      <c r="N21" s="8"/>
      <c r="O21" s="8"/>
      <c r="P21" s="9">
        <f>IFERROR(IF(ROW()-ROW(Dados1415[[#Headers],[Total]])=1,Dados1415[[#This Row],[Abril]]+Dados1415[[#This Row],[Fevereiro]],SUM(INDEX(Dados1415[Fevereiro],1,1):Dados1415[[#This Row],[Fevereiro]],INDEX(Dados1415[Abril],1,1):Dados1415[[#This Row],[Abril]])),"")</f>
        <v>38685.69000000001</v>
      </c>
    </row>
    <row r="22" spans="2:16" ht="30" customHeight="1" x14ac:dyDescent="0.4">
      <c r="B22" s="3" t="s">
        <v>16</v>
      </c>
      <c r="C22" s="3"/>
      <c r="D22" s="17">
        <f>SUBTOTAL(109,Dados1415[Janeiro])</f>
        <v>16726.810000000001</v>
      </c>
      <c r="E22" s="17">
        <f>SUBTOTAL(109,Dados1415[Fevereiro])</f>
        <v>18231.900000000001</v>
      </c>
      <c r="F22" s="17">
        <f>SUBTOTAL(109,Dados1415[Março])</f>
        <v>19322.82</v>
      </c>
      <c r="G22" s="17">
        <f>SUBTOTAL(109,Dados1415[Abril])</f>
        <v>20453.79</v>
      </c>
      <c r="H22" s="17">
        <f>SUBTOTAL(109,Dados1415[Maio])</f>
        <v>19873</v>
      </c>
      <c r="I22" s="17">
        <f>SUBTOTAL(109,Dados1415[Junho])</f>
        <v>21330.73</v>
      </c>
      <c r="J22" s="17">
        <f>SUBTOTAL(109,Dados1415[Julho])</f>
        <v>21437.949999999997</v>
      </c>
      <c r="K22" s="17">
        <f>SUBTOTAL(109,Dados1415[Agosto])</f>
        <v>21435.210000000003</v>
      </c>
      <c r="L22" s="17">
        <f>SUBTOTAL(109,Dados1415[Setembro])</f>
        <v>20444.88</v>
      </c>
      <c r="M22" s="17">
        <f>SUBTOTAL(109,Dados1415[Outubro])</f>
        <v>17596.68</v>
      </c>
      <c r="N22" s="17">
        <f>SUBTOTAL(109,Dados1415[Novembro])</f>
        <v>17958.740000000002</v>
      </c>
      <c r="O22" s="17">
        <f>SUBTOTAL(109,Dados1415[Dezembro])</f>
        <v>16474.720000000005</v>
      </c>
      <c r="P22" s="7">
        <f>SUBTOTAL(109,Dados1415[Total])</f>
        <v>482993.26</v>
      </c>
    </row>
    <row r="23" spans="2:16" ht="30" customHeight="1" x14ac:dyDescent="0.4">
      <c r="B23" s="3"/>
      <c r="C23" s="3"/>
      <c r="D23" s="3"/>
      <c r="E23" s="10"/>
      <c r="F23" s="3"/>
      <c r="G23" s="10"/>
      <c r="H23" s="10"/>
      <c r="I23" s="10"/>
      <c r="J23" s="10"/>
      <c r="K23" s="10"/>
      <c r="L23" s="10"/>
      <c r="M23" s="10"/>
      <c r="N23" s="10"/>
      <c r="O23" s="10"/>
      <c r="P23" s="3"/>
    </row>
    <row r="24" spans="2:16" ht="30" customHeight="1" x14ac:dyDescent="0.4">
      <c r="B24" s="2" t="s">
        <v>84</v>
      </c>
      <c r="C24" s="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2:16" ht="30" customHeight="1" x14ac:dyDescent="0.4">
      <c r="B25" s="3" t="s">
        <v>2</v>
      </c>
      <c r="C25" s="3" t="s">
        <v>3</v>
      </c>
      <c r="D25" s="4" t="s">
        <v>4</v>
      </c>
      <c r="E25" s="4" t="s">
        <v>5</v>
      </c>
      <c r="F25" s="4" t="s">
        <v>6</v>
      </c>
      <c r="G25" s="4" t="s">
        <v>7</v>
      </c>
      <c r="H25" s="4" t="s">
        <v>8</v>
      </c>
      <c r="I25" s="4" t="s">
        <v>9</v>
      </c>
      <c r="J25" s="4" t="s">
        <v>10</v>
      </c>
      <c r="K25" s="4" t="s">
        <v>11</v>
      </c>
      <c r="L25" s="4" t="s">
        <v>12</v>
      </c>
      <c r="M25" s="4" t="s">
        <v>13</v>
      </c>
      <c r="N25" s="4" t="s">
        <v>14</v>
      </c>
      <c r="O25" s="4" t="s">
        <v>15</v>
      </c>
      <c r="P25" s="5" t="s">
        <v>16</v>
      </c>
    </row>
    <row r="26" spans="2:16" ht="30" customHeight="1" x14ac:dyDescent="0.4">
      <c r="B26" s="6" t="s">
        <v>24</v>
      </c>
      <c r="C26" s="6"/>
      <c r="D26" s="7">
        <v>130</v>
      </c>
      <c r="E26" s="8">
        <v>130</v>
      </c>
      <c r="F26" s="7">
        <v>130</v>
      </c>
      <c r="G26" s="8">
        <v>130</v>
      </c>
      <c r="H26" s="8">
        <v>130</v>
      </c>
      <c r="I26" s="8">
        <v>130</v>
      </c>
      <c r="J26" s="8">
        <v>130</v>
      </c>
      <c r="K26" s="8">
        <v>130</v>
      </c>
      <c r="L26" s="8">
        <v>130</v>
      </c>
      <c r="M26" s="8">
        <v>130</v>
      </c>
      <c r="N26" s="8">
        <v>130</v>
      </c>
      <c r="O26" s="8">
        <v>130</v>
      </c>
      <c r="P26" s="9">
        <f>IFERROR(IF(ROW()-ROW(Dados143316[[#Headers],[Total]])=1,Dados143316[[#This Row],[Abril]]+Dados143316[[#This Row],[Fevereiro]],SUM(INDEX(Dados143316[Fevereiro],1,1):Dados143316[[#This Row],[Fevereiro]],INDEX(Dados143316[Abril],1,1):Dados143316[[#This Row],[Abril]])), "")</f>
        <v>260</v>
      </c>
    </row>
    <row r="27" spans="2:16" ht="30" customHeight="1" x14ac:dyDescent="0.4">
      <c r="B27" s="6" t="s">
        <v>47</v>
      </c>
      <c r="C27" s="6"/>
      <c r="D27" s="7"/>
      <c r="E27" s="8"/>
      <c r="F27" s="7"/>
      <c r="G27" s="8"/>
      <c r="H27" s="8"/>
      <c r="I27" s="8"/>
      <c r="J27" s="8"/>
      <c r="K27" s="8"/>
      <c r="L27" s="8"/>
      <c r="M27" s="8"/>
      <c r="N27" s="8"/>
      <c r="O27" s="8"/>
      <c r="P27" s="9">
        <f>IFERROR(IF(ROW()-ROW(Dados143316[[#Headers],[Total]])=1,Dados143316[[#This Row],[Abril]]+Dados143316[[#This Row],[Fevereiro]],SUM(INDEX(Dados143316[Fevereiro],1,1):Dados143316[[#This Row],[Fevereiro]],INDEX(Dados143316[Abril],1,1):Dados143316[[#This Row],[Abril]])),"")</f>
        <v>260</v>
      </c>
    </row>
    <row r="28" spans="2:16" ht="30" customHeight="1" x14ac:dyDescent="0.4">
      <c r="B28" s="6" t="s">
        <v>21</v>
      </c>
      <c r="C28" s="6"/>
      <c r="D28" s="7"/>
      <c r="E28" s="8"/>
      <c r="F28" s="7"/>
      <c r="G28" s="8"/>
      <c r="H28" s="8"/>
      <c r="I28" s="8"/>
      <c r="J28" s="8"/>
      <c r="K28" s="8">
        <v>388.7</v>
      </c>
      <c r="L28" s="8">
        <v>134.4</v>
      </c>
      <c r="M28" s="8">
        <v>150.85</v>
      </c>
      <c r="N28" s="8"/>
      <c r="O28" s="8"/>
      <c r="P28" s="9">
        <f>IFERROR(IF(ROW()-ROW(Dados143316[[#Headers],[Total]])=1,Dados143316[[#This Row],[Abril]]+Dados143316[[#This Row],[Fevereiro]],SUM(INDEX(Dados143316[Fevereiro],1,1):Dados143316[[#This Row],[Fevereiro]],INDEX(Dados143316[Abril],1,1):Dados143316[[#This Row],[Abril]])),"")</f>
        <v>260</v>
      </c>
    </row>
    <row r="29" spans="2:16" ht="30" customHeight="1" x14ac:dyDescent="0.4">
      <c r="B29" s="6" t="s">
        <v>23</v>
      </c>
      <c r="C29" s="6"/>
      <c r="D29" s="7"/>
      <c r="E29" s="8"/>
      <c r="F29" s="7"/>
      <c r="G29" s="8">
        <v>100</v>
      </c>
      <c r="H29" s="8">
        <v>100</v>
      </c>
      <c r="I29" s="8">
        <v>100</v>
      </c>
      <c r="J29" s="8">
        <v>100</v>
      </c>
      <c r="K29" s="8">
        <v>100</v>
      </c>
      <c r="L29" s="8">
        <v>100</v>
      </c>
      <c r="M29" s="8">
        <v>100</v>
      </c>
      <c r="N29" s="8">
        <v>100</v>
      </c>
      <c r="O29" s="8">
        <v>100</v>
      </c>
      <c r="P29" s="9">
        <f>IFERROR(IF(ROW()-ROW(Dados143316[[#Headers],[Total]])=1,Dados143316[[#This Row],[Abril]]+Dados143316[[#This Row],[Fevereiro]],SUM(INDEX(Dados143316[Fevereiro],1,1):Dados143316[[#This Row],[Fevereiro]],INDEX(Dados143316[Abril],1,1):Dados143316[[#This Row],[Abril]])),"")</f>
        <v>360</v>
      </c>
    </row>
    <row r="30" spans="2:16" ht="30" customHeight="1" x14ac:dyDescent="0.4">
      <c r="B30" s="6" t="s">
        <v>60</v>
      </c>
      <c r="C30" s="6"/>
      <c r="D30" s="7"/>
      <c r="E30" s="8"/>
      <c r="F30" s="7"/>
      <c r="G30" s="8"/>
      <c r="H30" s="8"/>
      <c r="I30" s="8"/>
      <c r="J30" s="8"/>
      <c r="K30" s="8"/>
      <c r="L30" s="8"/>
      <c r="M30" s="8"/>
      <c r="N30" s="8"/>
      <c r="O30" s="8"/>
      <c r="P30" s="9">
        <f>IFERROR(IF(ROW()-ROW(Dados143316[[#Headers],[Total]])=1,Dados143316[[#This Row],[Abril]]+Dados143316[[#This Row],[Fevereiro]],SUM(INDEX(Dados143316[Fevereiro],1,1):Dados143316[[#This Row],[Fevereiro]],INDEX(Dados143316[Abril],1,1):Dados143316[[#This Row],[Abril]])),"")</f>
        <v>360</v>
      </c>
    </row>
    <row r="31" spans="2:16" ht="30" customHeight="1" x14ac:dyDescent="0.4">
      <c r="B31" s="6" t="s">
        <v>17</v>
      </c>
      <c r="C31" s="6"/>
      <c r="D31" s="7"/>
      <c r="E31" s="8"/>
      <c r="F31" s="7"/>
      <c r="G31" s="8"/>
      <c r="H31" s="8"/>
      <c r="I31" s="8"/>
      <c r="J31" s="8"/>
      <c r="K31" s="8"/>
      <c r="L31" s="8"/>
      <c r="M31" s="8"/>
      <c r="N31" s="8"/>
      <c r="O31" s="8"/>
      <c r="P31" s="9">
        <f>IFERROR(IF(ROW()-ROW(Dados143316[[#Headers],[Total]])=1,Dados143316[[#This Row],[Abril]]+Dados143316[[#This Row],[Fevereiro]],SUM(INDEX(Dados143316[Fevereiro],1,1):Dados143316[[#This Row],[Fevereiro]],INDEX(Dados143316[Abril],1,1):Dados143316[[#This Row],[Abril]])),"")</f>
        <v>360</v>
      </c>
    </row>
    <row r="32" spans="2:16" ht="30" customHeight="1" x14ac:dyDescent="0.4">
      <c r="B32" s="6" t="s">
        <v>25</v>
      </c>
      <c r="C32" s="6"/>
      <c r="D32" s="7"/>
      <c r="E32" s="8"/>
      <c r="F32" s="7"/>
      <c r="G32" s="8"/>
      <c r="H32" s="8"/>
      <c r="I32" s="8"/>
      <c r="J32" s="8"/>
      <c r="K32" s="8"/>
      <c r="L32" s="8"/>
      <c r="M32" s="8"/>
      <c r="N32" s="8"/>
      <c r="O32" s="8"/>
      <c r="P32" s="9">
        <f>IFERROR(IF(ROW()-ROW(Dados143316[[#Headers],[Total]])=1,Dados143316[[#This Row],[Abril]]+Dados143316[[#This Row],[Fevereiro]],SUM(INDEX(Dados143316[Fevereiro],1,1):Dados143316[[#This Row],[Fevereiro]],INDEX(Dados143316[Abril],1,1):Dados143316[[#This Row],[Abril]])),"")</f>
        <v>360</v>
      </c>
    </row>
    <row r="33" spans="2:16" ht="30" customHeight="1" x14ac:dyDescent="0.4">
      <c r="B33" s="6" t="s">
        <v>61</v>
      </c>
      <c r="C33" s="6"/>
      <c r="D33" s="7"/>
      <c r="E33" s="8"/>
      <c r="F33" s="7"/>
      <c r="G33" s="8"/>
      <c r="H33" s="8"/>
      <c r="I33" s="8"/>
      <c r="J33" s="8"/>
      <c r="K33" s="8"/>
      <c r="L33" s="8"/>
      <c r="M33" s="8"/>
      <c r="N33" s="8"/>
      <c r="O33" s="8"/>
      <c r="P33" s="9">
        <f>IFERROR(IF(ROW()-ROW(Dados143316[[#Headers],[Total]])=1,Dados143316[[#This Row],[Abril]]+Dados143316[[#This Row],[Fevereiro]],SUM(INDEX(Dados143316[Fevereiro],1,1):Dados143316[[#This Row],[Fevereiro]],INDEX(Dados143316[Abril],1,1):Dados143316[[#This Row],[Abril]])),"")</f>
        <v>360</v>
      </c>
    </row>
    <row r="34" spans="2:16" ht="30" customHeight="1" x14ac:dyDescent="0.4">
      <c r="B34" s="6" t="s">
        <v>78</v>
      </c>
      <c r="C34" s="6"/>
      <c r="D34" s="7"/>
      <c r="E34" s="8"/>
      <c r="F34" s="7"/>
      <c r="G34" s="8"/>
      <c r="H34" s="8">
        <v>87.15</v>
      </c>
      <c r="I34" s="8">
        <v>87.15</v>
      </c>
      <c r="J34" s="8"/>
      <c r="K34" s="8"/>
      <c r="L34" s="8"/>
      <c r="M34" s="8"/>
      <c r="N34" s="8"/>
      <c r="O34" s="8"/>
      <c r="P34" s="9">
        <f>IFERROR(IF(ROW()-ROW(Dados143316[[#Headers],[Total]])=1,Dados143316[[#This Row],[Abril]]+Dados143316[[#This Row],[Fevereiro]],SUM(INDEX(Dados143316[Fevereiro],1,1):Dados143316[[#This Row],[Fevereiro]],INDEX(Dados143316[Abril],1,1):Dados143316[[#This Row],[Abril]])),"")</f>
        <v>360</v>
      </c>
    </row>
    <row r="35" spans="2:16" ht="30" customHeight="1" x14ac:dyDescent="0.4">
      <c r="B35" s="6" t="s">
        <v>63</v>
      </c>
      <c r="C35" s="6"/>
      <c r="D35" s="7">
        <v>87.15</v>
      </c>
      <c r="E35" s="8">
        <v>83</v>
      </c>
      <c r="F35" s="7">
        <v>91.3</v>
      </c>
      <c r="G35" s="8">
        <v>87.15</v>
      </c>
      <c r="H35" s="8">
        <v>87.15</v>
      </c>
      <c r="I35" s="8">
        <v>174.3</v>
      </c>
      <c r="J35" s="8">
        <v>182.6</v>
      </c>
      <c r="K35" s="8">
        <v>174.3</v>
      </c>
      <c r="L35" s="8">
        <v>174.3</v>
      </c>
      <c r="M35" s="8">
        <v>186.9</v>
      </c>
      <c r="N35" s="8">
        <v>186.9</v>
      </c>
      <c r="O35" s="8">
        <v>16.64</v>
      </c>
      <c r="P35" s="9">
        <f>IFERROR(IF(ROW()-ROW(Dados143316[[#Headers],[Total]])=1,Dados143316[[#This Row],[Abril]]+Dados143316[[#This Row],[Fevereiro]],SUM(INDEX(Dados143316[Fevereiro],1,1):Dados143316[[#This Row],[Fevereiro]],INDEX(Dados143316[Abril],1,1):Dados143316[[#This Row],[Abril]])),"")</f>
        <v>530.15</v>
      </c>
    </row>
    <row r="36" spans="2:16" ht="30" customHeight="1" x14ac:dyDescent="0.4">
      <c r="B36" s="6" t="s">
        <v>64</v>
      </c>
      <c r="C36" s="6"/>
      <c r="D36" s="7"/>
      <c r="E36" s="8"/>
      <c r="F36" s="7"/>
      <c r="G36" s="8"/>
      <c r="H36" s="8"/>
      <c r="I36" s="8"/>
      <c r="J36" s="8"/>
      <c r="K36" s="8"/>
      <c r="L36" s="8"/>
      <c r="M36" s="8"/>
      <c r="N36" s="8"/>
      <c r="O36" s="8"/>
      <c r="P36" s="9">
        <f>IFERROR(IF(ROW()-ROW(Dados143316[[#Headers],[Total]])=1,Dados143316[[#This Row],[Abril]]+Dados143316[[#This Row],[Fevereiro]],SUM(INDEX(Dados143316[Fevereiro],1,1):Dados143316[[#This Row],[Fevereiro]],INDEX(Dados143316[Abril],1,1):Dados143316[[#This Row],[Abril]])),"")</f>
        <v>530.15</v>
      </c>
    </row>
    <row r="37" spans="2:16" ht="30" customHeight="1" x14ac:dyDescent="0.4">
      <c r="B37" s="6" t="s">
        <v>65</v>
      </c>
      <c r="C37" s="6"/>
      <c r="D37" s="7"/>
      <c r="E37" s="8"/>
      <c r="F37" s="7"/>
      <c r="G37" s="8"/>
      <c r="H37" s="8"/>
      <c r="I37" s="8"/>
      <c r="J37" s="8"/>
      <c r="K37" s="8"/>
      <c r="L37" s="8"/>
      <c r="M37" s="8"/>
      <c r="N37" s="8"/>
      <c r="O37" s="8"/>
      <c r="P37" s="9">
        <f>IFERROR(IF(ROW()-ROW(Dados143316[[#Headers],[Total]])=1,Dados143316[[#This Row],[Abril]]+Dados143316[[#This Row],[Fevereiro]],SUM(INDEX(Dados143316[Fevereiro],1,1):Dados143316[[#This Row],[Fevereiro]],INDEX(Dados143316[Abril],1,1):Dados143316[[#This Row],[Abril]])),"")</f>
        <v>530.15</v>
      </c>
    </row>
    <row r="38" spans="2:16" ht="30" customHeight="1" x14ac:dyDescent="0.4">
      <c r="B38" s="6" t="s">
        <v>66</v>
      </c>
      <c r="C38" s="6"/>
      <c r="D38" s="7"/>
      <c r="E38" s="8"/>
      <c r="F38" s="7"/>
      <c r="G38" s="8"/>
      <c r="H38" s="8"/>
      <c r="I38" s="8"/>
      <c r="J38" s="8"/>
      <c r="K38" s="8"/>
      <c r="L38" s="8"/>
      <c r="M38" s="8"/>
      <c r="N38" s="8"/>
      <c r="O38" s="8"/>
      <c r="P38" s="9">
        <f>IFERROR(IF(ROW()-ROW(Dados143316[[#Headers],[Total]])=1,Dados143316[[#This Row],[Abril]]+Dados143316[[#This Row],[Fevereiro]],SUM(INDEX(Dados143316[Fevereiro],1,1):Dados143316[[#This Row],[Fevereiro]],INDEX(Dados143316[Abril],1,1):Dados143316[[#This Row],[Abril]])),"")</f>
        <v>530.15</v>
      </c>
    </row>
    <row r="39" spans="2:16" ht="30" customHeight="1" x14ac:dyDescent="0.4">
      <c r="B39" s="6" t="s">
        <v>79</v>
      </c>
      <c r="C39" s="6"/>
      <c r="D39" s="7"/>
      <c r="E39" s="8"/>
      <c r="F39" s="7"/>
      <c r="G39" s="8"/>
      <c r="H39" s="8"/>
      <c r="I39" s="8"/>
      <c r="J39" s="8"/>
      <c r="K39" s="8"/>
      <c r="L39" s="8"/>
      <c r="M39" s="8"/>
      <c r="N39" s="8"/>
      <c r="O39" s="8"/>
      <c r="P39" s="9">
        <f>IFERROR(IF(ROW()-ROW(Dados143316[[#Headers],[Total]])=1,Dados143316[[#This Row],[Abril]]+Dados143316[[#This Row],[Fevereiro]],SUM(INDEX(Dados143316[Fevereiro],1,1):Dados143316[[#This Row],[Fevereiro]],INDEX(Dados143316[Abril],1,1):Dados143316[[#This Row],[Abril]])),"")</f>
        <v>530.15</v>
      </c>
    </row>
    <row r="40" spans="2:16" ht="30" customHeight="1" x14ac:dyDescent="0.4">
      <c r="B40" s="6" t="s">
        <v>80</v>
      </c>
      <c r="C40" s="6"/>
      <c r="D40" s="7"/>
      <c r="E40" s="8"/>
      <c r="F40" s="7"/>
      <c r="G40" s="8"/>
      <c r="H40" s="8"/>
      <c r="I40" s="8"/>
      <c r="J40" s="8"/>
      <c r="K40" s="8"/>
      <c r="L40" s="8"/>
      <c r="M40" s="8"/>
      <c r="N40" s="8"/>
      <c r="O40" s="8"/>
      <c r="P40" s="9">
        <f>IFERROR(IF(ROW()-ROW(Dados143316[[#Headers],[Total]])=1,Dados143316[[#This Row],[Abril]]+Dados143316[[#This Row],[Fevereiro]],SUM(INDEX(Dados143316[Fevereiro],1,1):Dados143316[[#This Row],[Fevereiro]],INDEX(Dados143316[Abril],1,1):Dados143316[[#This Row],[Abril]])),"")</f>
        <v>530.15</v>
      </c>
    </row>
    <row r="41" spans="2:16" ht="30" customHeight="1" x14ac:dyDescent="0.4">
      <c r="B41" s="6" t="s">
        <v>81</v>
      </c>
      <c r="C41" s="6"/>
      <c r="D41" s="7"/>
      <c r="E41" s="8"/>
      <c r="F41" s="7"/>
      <c r="G41" s="8"/>
      <c r="H41" s="8"/>
      <c r="I41" s="8"/>
      <c r="J41" s="8"/>
      <c r="K41" s="8"/>
      <c r="L41" s="8"/>
      <c r="M41" s="8"/>
      <c r="N41" s="8"/>
      <c r="O41" s="8"/>
      <c r="P41" s="9">
        <f>IFERROR(IF(ROW()-ROW(Dados143316[[#Headers],[Total]])=1,Dados143316[[#This Row],[Abril]]+Dados143316[[#This Row],[Fevereiro]],SUM(INDEX(Dados143316[Fevereiro],1,1):Dados143316[[#This Row],[Fevereiro]],INDEX(Dados143316[Abril],1,1):Dados143316[[#This Row],[Abril]])),"")</f>
        <v>530.15</v>
      </c>
    </row>
    <row r="42" spans="2:16" ht="30" customHeight="1" x14ac:dyDescent="0.4">
      <c r="B42" s="6" t="s">
        <v>82</v>
      </c>
      <c r="C42" s="6"/>
      <c r="D42" s="7"/>
      <c r="E42" s="7"/>
      <c r="F42" s="7"/>
      <c r="G42" s="7"/>
      <c r="H42" s="8"/>
      <c r="I42" s="8"/>
      <c r="J42" s="8"/>
      <c r="K42" s="8"/>
      <c r="L42" s="8"/>
      <c r="M42" s="8"/>
      <c r="N42" s="8"/>
      <c r="O42" s="8"/>
      <c r="P42" s="3">
        <f>IFERROR(IF(ROW()-ROW(Dados143316[[#Headers],[Total]])=1,Dados143316[[#This Row],[Abril]]+Dados143316[[#This Row],[Fevereiro]],SUM(INDEX(Dados143316[Fevereiro],1,1):Dados143316[[#This Row],[Fevereiro]],INDEX(Dados143316[Abril],1,1):Dados143316[[#This Row],[Abril]])),"")</f>
        <v>530.15</v>
      </c>
    </row>
    <row r="43" spans="2:16" ht="30" customHeight="1" x14ac:dyDescent="0.4">
      <c r="B43" s="6" t="s">
        <v>83</v>
      </c>
      <c r="C43" s="6"/>
      <c r="D43" s="7"/>
      <c r="E43" s="10"/>
      <c r="F43" s="7"/>
      <c r="G43" s="10"/>
      <c r="H43" s="8"/>
      <c r="I43" s="8"/>
      <c r="J43" s="8"/>
      <c r="K43" s="8"/>
      <c r="L43" s="8"/>
      <c r="M43" s="8"/>
      <c r="N43" s="8"/>
      <c r="O43" s="8"/>
      <c r="P43" s="3">
        <f>IFERROR(IF(ROW()-ROW(Dados143316[[#Headers],[Total]])=1,Dados143316[[#This Row],[Abril]]+Dados143316[[#This Row],[Fevereiro]],SUM(INDEX(Dados143316[Fevereiro],1,1):Dados143316[[#This Row],[Fevereiro]],INDEX(Dados143316[Abril],1,1):Dados143316[[#This Row],[Abril]])),"")</f>
        <v>530.15</v>
      </c>
    </row>
    <row r="44" spans="2:16" ht="30" customHeight="1" x14ac:dyDescent="0.4">
      <c r="B44" s="3" t="s">
        <v>16</v>
      </c>
      <c r="C44" s="3"/>
      <c r="D44" s="17">
        <f>SUBTOTAL(109,Dados143316[Janeiro])</f>
        <v>217.15</v>
      </c>
      <c r="E44" s="17">
        <f>SUBTOTAL(109,Dados143316[Fevereiro])</f>
        <v>213</v>
      </c>
      <c r="F44" s="17">
        <f>SUBTOTAL(109,Dados143316[Março])</f>
        <v>221.3</v>
      </c>
      <c r="G44" s="17">
        <f>SUBTOTAL(109,Dados143316[Abril])</f>
        <v>317.14999999999998</v>
      </c>
      <c r="H44" s="17">
        <f>SUBTOTAL(109,Dados143316[Maio])</f>
        <v>404.29999999999995</v>
      </c>
      <c r="I44" s="17">
        <f>SUBTOTAL(109,Dados143316[Junho])</f>
        <v>491.45</v>
      </c>
      <c r="J44" s="17">
        <f>SUBTOTAL(109,Dados143316[Julho])</f>
        <v>412.6</v>
      </c>
      <c r="K44" s="17">
        <f>SUBTOTAL(109,Dados143316[Agosto])</f>
        <v>793</v>
      </c>
      <c r="L44" s="17">
        <f>SUBTOTAL(109,Dados143316[Setembro])</f>
        <v>538.70000000000005</v>
      </c>
      <c r="M44" s="17">
        <f>SUBTOTAL(109,Dados143316[Outubro])</f>
        <v>567.75</v>
      </c>
      <c r="N44" s="17">
        <f>SUBTOTAL(109,Dados143316[Novembro])</f>
        <v>416.9</v>
      </c>
      <c r="O44" s="17">
        <f>SUBTOTAL(109,Dados143316[Dezembro])</f>
        <v>246.64</v>
      </c>
      <c r="P44" s="3"/>
    </row>
    <row r="45" spans="2:16" ht="30" customHeight="1" x14ac:dyDescent="0.4">
      <c r="B45" s="3"/>
      <c r="C45" s="3"/>
      <c r="D45" s="3"/>
      <c r="E45" s="10"/>
      <c r="F45" s="3"/>
      <c r="G45" s="10"/>
      <c r="H45" s="10"/>
      <c r="I45" s="10"/>
      <c r="J45" s="10"/>
      <c r="K45" s="10"/>
      <c r="L45" s="10"/>
      <c r="M45" s="10"/>
      <c r="N45" s="10"/>
      <c r="O45" s="10"/>
      <c r="P45" s="3"/>
    </row>
    <row r="46" spans="2:16" ht="30" customHeight="1" x14ac:dyDescent="0.4">
      <c r="B46" s="2" t="s">
        <v>85</v>
      </c>
      <c r="C46" s="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2:16" ht="30" customHeight="1" x14ac:dyDescent="0.4">
      <c r="B47" s="3" t="s">
        <v>2</v>
      </c>
      <c r="C47" s="3" t="s">
        <v>3</v>
      </c>
      <c r="D47" s="4" t="s">
        <v>4</v>
      </c>
      <c r="E47" s="4" t="s">
        <v>5</v>
      </c>
      <c r="F47" s="4" t="s">
        <v>6</v>
      </c>
      <c r="G47" s="4" t="s">
        <v>7</v>
      </c>
      <c r="H47" s="4" t="s">
        <v>8</v>
      </c>
      <c r="I47" s="4" t="s">
        <v>9</v>
      </c>
      <c r="J47" s="4" t="s">
        <v>10</v>
      </c>
      <c r="K47" s="4" t="s">
        <v>11</v>
      </c>
      <c r="L47" s="4" t="s">
        <v>12</v>
      </c>
      <c r="M47" s="4" t="s">
        <v>13</v>
      </c>
      <c r="N47" s="4" t="s">
        <v>14</v>
      </c>
      <c r="O47" s="4" t="s">
        <v>15</v>
      </c>
      <c r="P47" s="5" t="s">
        <v>16</v>
      </c>
    </row>
    <row r="48" spans="2:16" ht="30" customHeight="1" x14ac:dyDescent="0.4">
      <c r="B48" s="6" t="s">
        <v>24</v>
      </c>
      <c r="C48" s="6"/>
      <c r="D48" s="7"/>
      <c r="E48" s="8"/>
      <c r="F48" s="7"/>
      <c r="G48" s="8"/>
      <c r="H48" s="8"/>
      <c r="I48" s="8"/>
      <c r="J48" s="8"/>
      <c r="K48" s="8"/>
      <c r="L48" s="8"/>
      <c r="M48" s="8"/>
      <c r="N48" s="8"/>
      <c r="O48" s="8"/>
      <c r="P48" s="9">
        <f>IFERROR(IF(ROW()-ROW(Dados14333518[[#Headers],[Total]])=1,Dados14333518[[#This Row],[Abril]]+Dados14333518[[#This Row],[Fevereiro]],SUM(INDEX(Dados14333518[Fevereiro],1,1):Dados14333518[[#This Row],[Fevereiro]],INDEX(Dados14333518[Abril],1,1):Dados14333518[[#This Row],[Abril]])), "")</f>
        <v>0</v>
      </c>
    </row>
    <row r="49" spans="2:16" ht="30" customHeight="1" x14ac:dyDescent="0.4">
      <c r="B49" s="6" t="s">
        <v>47</v>
      </c>
      <c r="C49" s="6"/>
      <c r="D49" s="7"/>
      <c r="E49" s="8"/>
      <c r="F49" s="7"/>
      <c r="G49" s="8"/>
      <c r="H49" s="8"/>
      <c r="I49" s="8"/>
      <c r="J49" s="8"/>
      <c r="K49" s="8"/>
      <c r="L49" s="8"/>
      <c r="M49" s="8"/>
      <c r="N49" s="8"/>
      <c r="O49" s="8"/>
      <c r="P49" s="9">
        <f>IFERROR(IF(ROW()-ROW(Dados14333518[[#Headers],[Total]])=1,Dados14333518[[#This Row],[Abril]]+Dados14333518[[#This Row],[Fevereiro]],SUM(INDEX(Dados14333518[Fevereiro],1,1):Dados14333518[[#This Row],[Fevereiro]],INDEX(Dados14333518[Abril],1,1):Dados14333518[[#This Row],[Abril]])),"")</f>
        <v>0</v>
      </c>
    </row>
    <row r="50" spans="2:16" ht="30" customHeight="1" x14ac:dyDescent="0.4">
      <c r="B50" s="6" t="s">
        <v>21</v>
      </c>
      <c r="C50" s="6"/>
      <c r="D50" s="7"/>
      <c r="E50" s="8"/>
      <c r="F50" s="7"/>
      <c r="G50" s="8"/>
      <c r="H50" s="8"/>
      <c r="I50" s="8"/>
      <c r="J50" s="8"/>
      <c r="K50" s="8"/>
      <c r="L50" s="8"/>
      <c r="M50" s="8"/>
      <c r="N50" s="8"/>
      <c r="O50" s="8"/>
      <c r="P50" s="9">
        <f>IFERROR(IF(ROW()-ROW(Dados14333518[[#Headers],[Total]])=1,Dados14333518[[#This Row],[Abril]]+Dados14333518[[#This Row],[Fevereiro]],SUM(INDEX(Dados14333518[Fevereiro],1,1):Dados14333518[[#This Row],[Fevereiro]],INDEX(Dados14333518[Abril],1,1):Dados14333518[[#This Row],[Abril]])),"")</f>
        <v>0</v>
      </c>
    </row>
    <row r="51" spans="2:16" ht="30" customHeight="1" x14ac:dyDescent="0.4">
      <c r="B51" s="6" t="s">
        <v>23</v>
      </c>
      <c r="C51" s="6"/>
      <c r="D51" s="7"/>
      <c r="E51" s="8">
        <v>130</v>
      </c>
      <c r="F51" s="7">
        <v>130</v>
      </c>
      <c r="G51" s="8">
        <v>130</v>
      </c>
      <c r="H51" s="8">
        <v>130</v>
      </c>
      <c r="I51" s="8">
        <v>130</v>
      </c>
      <c r="J51" s="8">
        <v>130</v>
      </c>
      <c r="K51" s="8">
        <v>130</v>
      </c>
      <c r="L51" s="8"/>
      <c r="M51" s="8"/>
      <c r="N51" s="8">
        <v>130</v>
      </c>
      <c r="O51" s="8">
        <v>130</v>
      </c>
      <c r="P51" s="9">
        <f>IFERROR(IF(ROW()-ROW(Dados14333518[[#Headers],[Total]])=1,Dados14333518[[#This Row],[Abril]]+Dados14333518[[#This Row],[Fevereiro]],SUM(INDEX(Dados14333518[Fevereiro],1,1):Dados14333518[[#This Row],[Fevereiro]],INDEX(Dados14333518[Abril],1,1):Dados14333518[[#This Row],[Abril]])),"")</f>
        <v>260</v>
      </c>
    </row>
    <row r="52" spans="2:16" ht="30" customHeight="1" x14ac:dyDescent="0.4">
      <c r="B52" s="6" t="s">
        <v>60</v>
      </c>
      <c r="C52" s="6"/>
      <c r="D52" s="7"/>
      <c r="E52" s="8">
        <v>130</v>
      </c>
      <c r="F52" s="7">
        <v>130</v>
      </c>
      <c r="G52" s="8">
        <v>130</v>
      </c>
      <c r="H52" s="8">
        <v>130</v>
      </c>
      <c r="I52" s="8">
        <v>130</v>
      </c>
      <c r="J52" s="8">
        <v>130</v>
      </c>
      <c r="K52" s="8">
        <v>130</v>
      </c>
      <c r="L52" s="8"/>
      <c r="M52" s="8"/>
      <c r="N52" s="8">
        <v>130</v>
      </c>
      <c r="O52" s="8">
        <v>130</v>
      </c>
      <c r="P52" s="9">
        <f>IFERROR(IF(ROW()-ROW(Dados14333518[[#Headers],[Total]])=1,Dados14333518[[#This Row],[Abril]]+Dados14333518[[#This Row],[Fevereiro]],SUM(INDEX(Dados14333518[Fevereiro],1,1):Dados14333518[[#This Row],[Fevereiro]],INDEX(Dados14333518[Abril],1,1):Dados14333518[[#This Row],[Abril]])),"")</f>
        <v>520</v>
      </c>
    </row>
    <row r="53" spans="2:16" ht="30" customHeight="1" x14ac:dyDescent="0.4">
      <c r="B53" s="6" t="s">
        <v>17</v>
      </c>
      <c r="C53" s="6"/>
      <c r="D53" s="7"/>
      <c r="E53" s="8"/>
      <c r="F53" s="7"/>
      <c r="G53" s="8"/>
      <c r="H53" s="8"/>
      <c r="I53" s="8"/>
      <c r="J53" s="8"/>
      <c r="K53" s="8"/>
      <c r="L53" s="8"/>
      <c r="M53" s="8"/>
      <c r="N53" s="8"/>
      <c r="O53" s="8"/>
      <c r="P53" s="9">
        <f>IFERROR(IF(ROW()-ROW(Dados14333518[[#Headers],[Total]])=1,Dados14333518[[#This Row],[Abril]]+Dados14333518[[#This Row],[Fevereiro]],SUM(INDEX(Dados14333518[Fevereiro],1,1):Dados14333518[[#This Row],[Fevereiro]],INDEX(Dados14333518[Abril],1,1):Dados14333518[[#This Row],[Abril]])),"")</f>
        <v>520</v>
      </c>
    </row>
    <row r="54" spans="2:16" ht="30" customHeight="1" x14ac:dyDescent="0.4">
      <c r="B54" s="6" t="s">
        <v>25</v>
      </c>
      <c r="C54" s="6"/>
      <c r="D54" s="7"/>
      <c r="E54" s="8"/>
      <c r="F54" s="7">
        <v>130</v>
      </c>
      <c r="G54" s="8">
        <v>130</v>
      </c>
      <c r="H54" s="8">
        <v>130</v>
      </c>
      <c r="I54" s="8">
        <v>130</v>
      </c>
      <c r="J54" s="8">
        <v>130</v>
      </c>
      <c r="K54" s="8">
        <v>130</v>
      </c>
      <c r="L54" s="8"/>
      <c r="M54" s="8"/>
      <c r="N54" s="8">
        <v>130</v>
      </c>
      <c r="O54" s="8">
        <v>130</v>
      </c>
      <c r="P54" s="9">
        <f>IFERROR(IF(ROW()-ROW(Dados14333518[[#Headers],[Total]])=1,Dados14333518[[#This Row],[Abril]]+Dados14333518[[#This Row],[Fevereiro]],SUM(INDEX(Dados14333518[Fevereiro],1,1):Dados14333518[[#This Row],[Fevereiro]],INDEX(Dados14333518[Abril],1,1):Dados14333518[[#This Row],[Abril]])),"")</f>
        <v>650</v>
      </c>
    </row>
    <row r="55" spans="2:16" ht="30" customHeight="1" x14ac:dyDescent="0.4">
      <c r="B55" s="6" t="s">
        <v>61</v>
      </c>
      <c r="C55" s="6"/>
      <c r="D55" s="7">
        <v>130</v>
      </c>
      <c r="E55" s="8">
        <v>130</v>
      </c>
      <c r="F55" s="7">
        <v>130</v>
      </c>
      <c r="G55" s="8">
        <v>130</v>
      </c>
      <c r="H55" s="8">
        <v>130</v>
      </c>
      <c r="I55" s="8">
        <v>130</v>
      </c>
      <c r="J55" s="8">
        <v>130</v>
      </c>
      <c r="K55" s="8">
        <v>130</v>
      </c>
      <c r="L55" s="8"/>
      <c r="M55" s="8"/>
      <c r="N55" s="8">
        <v>130</v>
      </c>
      <c r="O55" s="8">
        <v>130</v>
      </c>
      <c r="P55" s="9">
        <f>IFERROR(IF(ROW()-ROW(Dados14333518[[#Headers],[Total]])=1,Dados14333518[[#This Row],[Abril]]+Dados14333518[[#This Row],[Fevereiro]],SUM(INDEX(Dados14333518[Fevereiro],1,1):Dados14333518[[#This Row],[Fevereiro]],INDEX(Dados14333518[Abril],1,1):Dados14333518[[#This Row],[Abril]])),"")</f>
        <v>910</v>
      </c>
    </row>
    <row r="56" spans="2:16" ht="30" customHeight="1" x14ac:dyDescent="0.4">
      <c r="B56" s="6" t="s">
        <v>78</v>
      </c>
      <c r="C56" s="6"/>
      <c r="D56" s="7">
        <v>130</v>
      </c>
      <c r="E56" s="8">
        <v>130</v>
      </c>
      <c r="F56" s="7">
        <v>130</v>
      </c>
      <c r="G56" s="8">
        <v>130</v>
      </c>
      <c r="H56" s="8">
        <v>130</v>
      </c>
      <c r="I56" s="8">
        <v>130</v>
      </c>
      <c r="J56" s="8">
        <v>130</v>
      </c>
      <c r="K56" s="8">
        <v>130</v>
      </c>
      <c r="L56" s="8"/>
      <c r="M56" s="8"/>
      <c r="N56" s="8">
        <v>130</v>
      </c>
      <c r="O56" s="8">
        <v>130</v>
      </c>
      <c r="P56" s="9">
        <f>IFERROR(IF(ROW()-ROW(Dados14333518[[#Headers],[Total]])=1,Dados14333518[[#This Row],[Abril]]+Dados14333518[[#This Row],[Fevereiro]],SUM(INDEX(Dados14333518[Fevereiro],1,1):Dados14333518[[#This Row],[Fevereiro]],INDEX(Dados14333518[Abril],1,1):Dados14333518[[#This Row],[Abril]])),"")</f>
        <v>1170</v>
      </c>
    </row>
    <row r="57" spans="2:16" ht="30" customHeight="1" x14ac:dyDescent="0.4">
      <c r="B57" s="6" t="s">
        <v>63</v>
      </c>
      <c r="C57" s="6"/>
      <c r="D57" s="7">
        <v>130</v>
      </c>
      <c r="E57" s="8">
        <v>130</v>
      </c>
      <c r="F57" s="7">
        <v>130</v>
      </c>
      <c r="G57" s="8">
        <v>130</v>
      </c>
      <c r="H57" s="8">
        <v>130</v>
      </c>
      <c r="I57" s="8">
        <v>130</v>
      </c>
      <c r="J57" s="8">
        <v>130</v>
      </c>
      <c r="K57" s="8">
        <v>130</v>
      </c>
      <c r="L57" s="8"/>
      <c r="M57" s="8"/>
      <c r="N57" s="8">
        <v>130</v>
      </c>
      <c r="O57" s="8">
        <v>130</v>
      </c>
      <c r="P57" s="9">
        <f>IFERROR(IF(ROW()-ROW(Dados14333518[[#Headers],[Total]])=1,Dados14333518[[#This Row],[Abril]]+Dados14333518[[#This Row],[Fevereiro]],SUM(INDEX(Dados14333518[Fevereiro],1,1):Dados14333518[[#This Row],[Fevereiro]],INDEX(Dados14333518[Abril],1,1):Dados14333518[[#This Row],[Abril]])),"")</f>
        <v>1430</v>
      </c>
    </row>
    <row r="58" spans="2:16" ht="30" customHeight="1" x14ac:dyDescent="0.4">
      <c r="B58" s="6" t="s">
        <v>64</v>
      </c>
      <c r="C58" s="6"/>
      <c r="D58" s="7"/>
      <c r="E58" s="8"/>
      <c r="F58" s="7"/>
      <c r="G58" s="8"/>
      <c r="H58" s="8"/>
      <c r="I58" s="8"/>
      <c r="J58" s="8"/>
      <c r="K58" s="8"/>
      <c r="L58" s="8"/>
      <c r="M58" s="8"/>
      <c r="N58" s="8"/>
      <c r="O58" s="8"/>
      <c r="P58" s="9">
        <f>IFERROR(IF(ROW()-ROW(Dados14333518[[#Headers],[Total]])=1,Dados14333518[[#This Row],[Abril]]+Dados14333518[[#This Row],[Fevereiro]],SUM(INDEX(Dados14333518[Fevereiro],1,1):Dados14333518[[#This Row],[Fevereiro]],INDEX(Dados14333518[Abril],1,1):Dados14333518[[#This Row],[Abril]])),"")</f>
        <v>1430</v>
      </c>
    </row>
    <row r="59" spans="2:16" ht="30" customHeight="1" x14ac:dyDescent="0.4">
      <c r="B59" s="6" t="s">
        <v>65</v>
      </c>
      <c r="C59" s="6"/>
      <c r="D59" s="7">
        <v>130</v>
      </c>
      <c r="E59" s="8">
        <v>130</v>
      </c>
      <c r="F59" s="7">
        <v>130</v>
      </c>
      <c r="G59" s="8">
        <v>130</v>
      </c>
      <c r="H59" s="8">
        <v>130</v>
      </c>
      <c r="I59" s="8">
        <v>130</v>
      </c>
      <c r="J59" s="8">
        <v>130</v>
      </c>
      <c r="K59" s="8">
        <v>130</v>
      </c>
      <c r="L59" s="8"/>
      <c r="M59" s="8"/>
      <c r="N59" s="8"/>
      <c r="O59" s="8"/>
      <c r="P59" s="9">
        <f>IFERROR(IF(ROW()-ROW(Dados14333518[[#Headers],[Total]])=1,Dados14333518[[#This Row],[Abril]]+Dados14333518[[#This Row],[Fevereiro]],SUM(INDEX(Dados14333518[Fevereiro],1,1):Dados14333518[[#This Row],[Fevereiro]],INDEX(Dados14333518[Abril],1,1):Dados14333518[[#This Row],[Abril]])),"")</f>
        <v>1690</v>
      </c>
    </row>
    <row r="60" spans="2:16" ht="30" customHeight="1" x14ac:dyDescent="0.4">
      <c r="B60" s="6" t="s">
        <v>66</v>
      </c>
      <c r="C60" s="6"/>
      <c r="D60" s="7"/>
      <c r="E60" s="8"/>
      <c r="F60" s="7"/>
      <c r="G60" s="8"/>
      <c r="H60" s="8"/>
      <c r="I60" s="8"/>
      <c r="J60" s="8"/>
      <c r="K60" s="8"/>
      <c r="L60" s="8"/>
      <c r="M60" s="8"/>
      <c r="N60" s="8"/>
      <c r="O60" s="8"/>
      <c r="P60" s="9">
        <f>IFERROR(IF(ROW()-ROW(Dados14333518[[#Headers],[Total]])=1,Dados14333518[[#This Row],[Abril]]+Dados14333518[[#This Row],[Fevereiro]],SUM(INDEX(Dados14333518[Fevereiro],1,1):Dados14333518[[#This Row],[Fevereiro]],INDEX(Dados14333518[Abril],1,1):Dados14333518[[#This Row],[Abril]])),"")</f>
        <v>1690</v>
      </c>
    </row>
    <row r="61" spans="2:16" ht="30" customHeight="1" x14ac:dyDescent="0.4">
      <c r="B61" s="6" t="s">
        <v>79</v>
      </c>
      <c r="C61" s="6"/>
      <c r="D61" s="7"/>
      <c r="E61" s="8"/>
      <c r="F61" s="7"/>
      <c r="G61" s="8"/>
      <c r="H61" s="8"/>
      <c r="I61" s="8"/>
      <c r="J61" s="8"/>
      <c r="K61" s="8"/>
      <c r="L61" s="8"/>
      <c r="M61" s="8"/>
      <c r="N61" s="8"/>
      <c r="O61" s="8"/>
      <c r="P61" s="9">
        <f>IFERROR(IF(ROW()-ROW(Dados14333518[[#Headers],[Total]])=1,Dados14333518[[#This Row],[Abril]]+Dados14333518[[#This Row],[Fevereiro]],SUM(INDEX(Dados14333518[Fevereiro],1,1):Dados14333518[[#This Row],[Fevereiro]],INDEX(Dados14333518[Abril],1,1):Dados14333518[[#This Row],[Abril]])),"")</f>
        <v>1690</v>
      </c>
    </row>
    <row r="62" spans="2:16" ht="30" customHeight="1" x14ac:dyDescent="0.4">
      <c r="B62" s="6" t="s">
        <v>80</v>
      </c>
      <c r="C62" s="6"/>
      <c r="D62" s="7"/>
      <c r="E62" s="8"/>
      <c r="F62" s="7"/>
      <c r="G62" s="8"/>
      <c r="H62" s="8"/>
      <c r="I62" s="8"/>
      <c r="J62" s="8"/>
      <c r="K62" s="8"/>
      <c r="L62" s="8"/>
      <c r="M62" s="8"/>
      <c r="N62" s="8"/>
      <c r="O62" s="8"/>
      <c r="P62" s="9">
        <f>IFERROR(IF(ROW()-ROW(Dados14333518[[#Headers],[Total]])=1,Dados14333518[[#This Row],[Abril]]+Dados14333518[[#This Row],[Fevereiro]],SUM(INDEX(Dados14333518[Fevereiro],1,1):Dados14333518[[#This Row],[Fevereiro]],INDEX(Dados14333518[Abril],1,1):Dados14333518[[#This Row],[Abril]])),"")</f>
        <v>1690</v>
      </c>
    </row>
    <row r="63" spans="2:16" ht="30" customHeight="1" x14ac:dyDescent="0.4">
      <c r="B63" s="6" t="s">
        <v>81</v>
      </c>
      <c r="C63" s="6"/>
      <c r="D63" s="7"/>
      <c r="E63" s="8"/>
      <c r="F63" s="7"/>
      <c r="G63" s="8"/>
      <c r="H63" s="8"/>
      <c r="I63" s="8"/>
      <c r="J63" s="8"/>
      <c r="K63" s="8"/>
      <c r="L63" s="8"/>
      <c r="M63" s="8"/>
      <c r="N63" s="8"/>
      <c r="O63" s="8"/>
      <c r="P63" s="9">
        <f>IFERROR(IF(ROW()-ROW(Dados14333518[[#Headers],[Total]])=1,Dados14333518[[#This Row],[Abril]]+Dados14333518[[#This Row],[Fevereiro]],SUM(INDEX(Dados14333518[Fevereiro],1,1):Dados14333518[[#This Row],[Fevereiro]],INDEX(Dados14333518[Abril],1,1):Dados14333518[[#This Row],[Abril]])),"")</f>
        <v>1690</v>
      </c>
    </row>
    <row r="64" spans="2:16" ht="30" customHeight="1" x14ac:dyDescent="0.4">
      <c r="B64" s="6" t="s">
        <v>82</v>
      </c>
      <c r="C64" s="6"/>
      <c r="D64" s="7"/>
      <c r="E64" s="7"/>
      <c r="F64" s="7"/>
      <c r="G64" s="7"/>
      <c r="H64" s="8"/>
      <c r="I64" s="8"/>
      <c r="J64" s="8"/>
      <c r="K64" s="8"/>
      <c r="L64" s="8"/>
      <c r="M64" s="8"/>
      <c r="N64" s="8"/>
      <c r="O64" s="8"/>
      <c r="P64" s="3">
        <f>IFERROR(IF(ROW()-ROW(Dados14333518[[#Headers],[Total]])=1,Dados14333518[[#This Row],[Abril]]+Dados14333518[[#This Row],[Fevereiro]],SUM(INDEX(Dados14333518[Fevereiro],1,1):Dados14333518[[#This Row],[Fevereiro]],INDEX(Dados14333518[Abril],1,1):Dados14333518[[#This Row],[Abril]])),"")</f>
        <v>1690</v>
      </c>
    </row>
    <row r="65" spans="2:16" ht="30" customHeight="1" x14ac:dyDescent="0.4">
      <c r="B65" s="6" t="s">
        <v>83</v>
      </c>
      <c r="C65" s="6"/>
      <c r="D65" s="7"/>
      <c r="E65" s="10"/>
      <c r="F65" s="7"/>
      <c r="G65" s="10"/>
      <c r="H65" s="8"/>
      <c r="I65" s="8"/>
      <c r="J65" s="8"/>
      <c r="K65" s="8"/>
      <c r="L65" s="8"/>
      <c r="M65" s="8"/>
      <c r="N65" s="8"/>
      <c r="O65" s="8"/>
      <c r="P65" s="3">
        <f>IFERROR(IF(ROW()-ROW(Dados14333518[[#Headers],[Total]])=1,Dados14333518[[#This Row],[Abril]]+Dados14333518[[#This Row],[Fevereiro]],SUM(INDEX(Dados14333518[Fevereiro],1,1):Dados14333518[[#This Row],[Fevereiro]],INDEX(Dados14333518[Abril],1,1):Dados14333518[[#This Row],[Abril]])),"")</f>
        <v>1690</v>
      </c>
    </row>
    <row r="66" spans="2:16" ht="30" customHeight="1" x14ac:dyDescent="0.4">
      <c r="B66" s="3" t="s">
        <v>16</v>
      </c>
      <c r="C66" s="3"/>
      <c r="D66" s="17">
        <f>SUBTOTAL(109,Dados14333518[Janeiro])</f>
        <v>520</v>
      </c>
      <c r="E66" s="17">
        <f>SUBTOTAL(109,Dados14333518[Fevereiro])</f>
        <v>780</v>
      </c>
      <c r="F66" s="17">
        <f>SUBTOTAL(109,Dados14333518[Março])</f>
        <v>910</v>
      </c>
      <c r="G66" s="17">
        <f>SUBTOTAL(109,Dados14333518[Abril])</f>
        <v>910</v>
      </c>
      <c r="H66" s="17">
        <f>SUBTOTAL(109,Dados14333518[Maio])</f>
        <v>910</v>
      </c>
      <c r="I66" s="17">
        <f>SUBTOTAL(109,Dados14333518[Junho])</f>
        <v>910</v>
      </c>
      <c r="J66" s="17">
        <f>SUBTOTAL(109,Dados14333518[Julho])</f>
        <v>910</v>
      </c>
      <c r="K66" s="17">
        <f>SUBTOTAL(109,Dados14333518[Agosto])</f>
        <v>910</v>
      </c>
      <c r="L66" s="17">
        <f>SUBTOTAL(109,Dados14333518[Setembro])</f>
        <v>0</v>
      </c>
      <c r="M66" s="17">
        <f>SUBTOTAL(109,Dados14333518[Outubro])</f>
        <v>0</v>
      </c>
      <c r="N66" s="17">
        <f>SUBTOTAL(109,Dados14333518[Novembro])</f>
        <v>780</v>
      </c>
      <c r="O66" s="17">
        <f>SUBTOTAL(109,Dados14333518[Dezembro])</f>
        <v>780</v>
      </c>
      <c r="P66" s="7">
        <f>SUBTOTAL(109,Dados14333518[Total])</f>
        <v>18720</v>
      </c>
    </row>
    <row r="67" spans="2:16" ht="30" customHeight="1" x14ac:dyDescent="0.4">
      <c r="B67" s="3"/>
      <c r="C67" s="3"/>
      <c r="D67" s="3"/>
      <c r="E67" s="10"/>
      <c r="F67" s="3"/>
      <c r="G67" s="10"/>
      <c r="H67" s="10"/>
      <c r="I67" s="10"/>
      <c r="J67" s="10"/>
      <c r="K67" s="10"/>
      <c r="L67" s="10"/>
      <c r="M67" s="10"/>
      <c r="N67" s="10"/>
      <c r="O67" s="10"/>
      <c r="P67" s="3"/>
    </row>
    <row r="68" spans="2:16" ht="30" customHeight="1" x14ac:dyDescent="0.4">
      <c r="B68" s="2" t="s">
        <v>86</v>
      </c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2:16" ht="30" customHeight="1" x14ac:dyDescent="0.4">
      <c r="B69" s="3" t="s">
        <v>2</v>
      </c>
      <c r="C69" s="3" t="s">
        <v>3</v>
      </c>
      <c r="D69" s="4" t="s">
        <v>4</v>
      </c>
      <c r="E69" s="4" t="s">
        <v>5</v>
      </c>
      <c r="F69" s="4" t="s">
        <v>6</v>
      </c>
      <c r="G69" s="4" t="s">
        <v>7</v>
      </c>
      <c r="H69" s="4" t="s">
        <v>8</v>
      </c>
      <c r="I69" s="4" t="s">
        <v>9</v>
      </c>
      <c r="J69" s="4" t="s">
        <v>10</v>
      </c>
      <c r="K69" s="4" t="s">
        <v>11</v>
      </c>
      <c r="L69" s="4" t="s">
        <v>12</v>
      </c>
      <c r="M69" s="4" t="s">
        <v>13</v>
      </c>
      <c r="N69" s="4" t="s">
        <v>14</v>
      </c>
      <c r="O69" s="4" t="s">
        <v>15</v>
      </c>
      <c r="P69" s="5" t="s">
        <v>16</v>
      </c>
    </row>
    <row r="70" spans="2:16" ht="30" customHeight="1" x14ac:dyDescent="0.4">
      <c r="B70" s="6" t="s">
        <v>24</v>
      </c>
      <c r="C70" s="6"/>
      <c r="D70" s="7">
        <v>423.42</v>
      </c>
      <c r="E70" s="8">
        <v>614.22</v>
      </c>
      <c r="F70" s="7">
        <v>510.41</v>
      </c>
      <c r="G70" s="8">
        <v>539.34</v>
      </c>
      <c r="H70" s="8">
        <v>617.9</v>
      </c>
      <c r="I70" s="8">
        <v>601.19000000000005</v>
      </c>
      <c r="J70" s="8">
        <v>677.19</v>
      </c>
      <c r="K70" s="8">
        <v>685.73</v>
      </c>
      <c r="L70" s="8">
        <v>728.17</v>
      </c>
      <c r="M70" s="8">
        <v>615.57000000000005</v>
      </c>
      <c r="N70" s="8">
        <v>784.35</v>
      </c>
      <c r="O70" s="8">
        <v>480.97</v>
      </c>
      <c r="P70" s="9">
        <f>IFERROR(IF(ROW()-ROW(Dados14333619[[#Headers],[Total]])=1,Dados14333619[[#This Row],[Abril]]+Dados14333619[[#This Row],[Fevereiro]],SUM(INDEX(Dados14333619[Fevereiro],1,1):Dados14333619[[#This Row],[Fevereiro]],INDEX(Dados14333619[Abril],1,1):Dados14333619[[#This Row],[Abril]])), "")</f>
        <v>1153.56</v>
      </c>
    </row>
    <row r="71" spans="2:16" ht="30" customHeight="1" x14ac:dyDescent="0.4">
      <c r="B71" s="6" t="s">
        <v>47</v>
      </c>
      <c r="C71" s="6"/>
      <c r="D71" s="7"/>
      <c r="E71" s="8"/>
      <c r="F71" s="7"/>
      <c r="G71" s="8"/>
      <c r="H71" s="8"/>
      <c r="I71" s="8"/>
      <c r="J71" s="8"/>
      <c r="K71" s="8"/>
      <c r="L71" s="8"/>
      <c r="M71" s="8"/>
      <c r="N71" s="8"/>
      <c r="O71" s="8"/>
      <c r="P71" s="9">
        <f>IFERROR(IF(ROW()-ROW(Dados14333619[[#Headers],[Total]])=1,Dados14333619[[#This Row],[Abril]]+Dados14333619[[#This Row],[Fevereiro]],SUM(INDEX(Dados14333619[Fevereiro],1,1):Dados14333619[[#This Row],[Fevereiro]],INDEX(Dados14333619[Abril],1,1):Dados14333619[[#This Row],[Abril]])),"")</f>
        <v>1153.56</v>
      </c>
    </row>
    <row r="72" spans="2:16" ht="30" customHeight="1" x14ac:dyDescent="0.4">
      <c r="B72" s="6" t="s">
        <v>21</v>
      </c>
      <c r="C72" s="6"/>
      <c r="D72" s="7"/>
      <c r="E72" s="8"/>
      <c r="F72" s="7"/>
      <c r="G72" s="8"/>
      <c r="H72" s="8"/>
      <c r="I72" s="8"/>
      <c r="J72" s="8"/>
      <c r="K72" s="8"/>
      <c r="L72" s="8"/>
      <c r="M72" s="8"/>
      <c r="N72" s="8"/>
      <c r="O72" s="8"/>
      <c r="P72" s="9">
        <f>IFERROR(IF(ROW()-ROW(Dados14333619[[#Headers],[Total]])=1,Dados14333619[[#This Row],[Abril]]+Dados14333619[[#This Row],[Fevereiro]],SUM(INDEX(Dados14333619[Fevereiro],1,1):Dados14333619[[#This Row],[Fevereiro]],INDEX(Dados14333619[Abril],1,1):Dados14333619[[#This Row],[Abril]])),"")</f>
        <v>1153.56</v>
      </c>
    </row>
    <row r="73" spans="2:16" ht="30" customHeight="1" x14ac:dyDescent="0.4">
      <c r="B73" s="6" t="s">
        <v>23</v>
      </c>
      <c r="C73" s="6"/>
      <c r="D73" s="7"/>
      <c r="E73" s="8"/>
      <c r="F73" s="7"/>
      <c r="G73" s="8"/>
      <c r="H73" s="8"/>
      <c r="I73" s="8"/>
      <c r="J73" s="8"/>
      <c r="K73" s="8"/>
      <c r="L73" s="8"/>
      <c r="M73" s="8"/>
      <c r="N73" s="8"/>
      <c r="O73" s="8"/>
      <c r="P73" s="9">
        <f>IFERROR(IF(ROW()-ROW(Dados14333619[[#Headers],[Total]])=1,Dados14333619[[#This Row],[Abril]]+Dados14333619[[#This Row],[Fevereiro]],SUM(INDEX(Dados14333619[Fevereiro],1,1):Dados14333619[[#This Row],[Fevereiro]],INDEX(Dados14333619[Abril],1,1):Dados14333619[[#This Row],[Abril]])),"")</f>
        <v>1153.56</v>
      </c>
    </row>
    <row r="74" spans="2:16" ht="30" customHeight="1" x14ac:dyDescent="0.4">
      <c r="B74" s="6" t="s">
        <v>60</v>
      </c>
      <c r="C74" s="6"/>
      <c r="D74" s="7">
        <v>13.82</v>
      </c>
      <c r="E74" s="8">
        <v>169.8</v>
      </c>
      <c r="F74" s="7">
        <v>184.34</v>
      </c>
      <c r="G74" s="8">
        <v>239.44</v>
      </c>
      <c r="H74" s="8">
        <v>175.57</v>
      </c>
      <c r="I74" s="8">
        <v>335.87</v>
      </c>
      <c r="J74" s="8">
        <v>389.55</v>
      </c>
      <c r="K74" s="8">
        <v>308.14999999999998</v>
      </c>
      <c r="L74" s="8">
        <v>133.41</v>
      </c>
      <c r="M74" s="8">
        <v>329.88</v>
      </c>
      <c r="N74" s="8">
        <v>177.99</v>
      </c>
      <c r="O74" s="8">
        <v>146.30000000000001</v>
      </c>
      <c r="P74" s="9">
        <f>IFERROR(IF(ROW()-ROW(Dados14333619[[#Headers],[Total]])=1,Dados14333619[[#This Row],[Abril]]+Dados14333619[[#This Row],[Fevereiro]],SUM(INDEX(Dados14333619[Fevereiro],1,1):Dados14333619[[#This Row],[Fevereiro]],INDEX(Dados14333619[Abril],1,1):Dados14333619[[#This Row],[Abril]])),"")</f>
        <v>1562.8000000000002</v>
      </c>
    </row>
    <row r="75" spans="2:16" ht="30" customHeight="1" x14ac:dyDescent="0.4">
      <c r="B75" s="6" t="s">
        <v>17</v>
      </c>
      <c r="C75" s="6"/>
      <c r="D75" s="7"/>
      <c r="E75" s="8">
        <v>7.9</v>
      </c>
      <c r="F75" s="7">
        <v>27.66</v>
      </c>
      <c r="G75" s="8">
        <v>16.3</v>
      </c>
      <c r="H75" s="8">
        <v>1.6</v>
      </c>
      <c r="I75" s="8"/>
      <c r="J75" s="8">
        <v>39.42</v>
      </c>
      <c r="K75" s="8"/>
      <c r="L75" s="8">
        <v>12.6</v>
      </c>
      <c r="M75" s="8">
        <v>76.599999999999994</v>
      </c>
      <c r="N75" s="8">
        <v>41.57</v>
      </c>
      <c r="O75" s="8"/>
      <c r="P75" s="9">
        <f>IFERROR(IF(ROW()-ROW(Dados14333619[[#Headers],[Total]])=1,Dados14333619[[#This Row],[Abril]]+Dados14333619[[#This Row],[Fevereiro]],SUM(INDEX(Dados14333619[Fevereiro],1,1):Dados14333619[[#This Row],[Fevereiro]],INDEX(Dados14333619[Abril],1,1):Dados14333619[[#This Row],[Abril]])),"")</f>
        <v>1587</v>
      </c>
    </row>
    <row r="76" spans="2:16" ht="30" customHeight="1" x14ac:dyDescent="0.4">
      <c r="B76" s="6" t="s">
        <v>25</v>
      </c>
      <c r="C76" s="6"/>
      <c r="D76" s="7"/>
      <c r="E76" s="8"/>
      <c r="F76" s="7"/>
      <c r="G76" s="8"/>
      <c r="H76" s="8"/>
      <c r="I76" s="8"/>
      <c r="J76" s="8"/>
      <c r="K76" s="8"/>
      <c r="L76" s="8"/>
      <c r="M76" s="8"/>
      <c r="N76" s="8"/>
      <c r="O76" s="8"/>
      <c r="P76" s="9">
        <f>IFERROR(IF(ROW()-ROW(Dados14333619[[#Headers],[Total]])=1,Dados14333619[[#This Row],[Abril]]+Dados14333619[[#This Row],[Fevereiro]],SUM(INDEX(Dados14333619[Fevereiro],1,1):Dados14333619[[#This Row],[Fevereiro]],INDEX(Dados14333619[Abril],1,1):Dados14333619[[#This Row],[Abril]])),"")</f>
        <v>1587</v>
      </c>
    </row>
    <row r="77" spans="2:16" ht="30" customHeight="1" x14ac:dyDescent="0.4">
      <c r="B77" s="6" t="s">
        <v>61</v>
      </c>
      <c r="C77" s="6"/>
      <c r="D77" s="7"/>
      <c r="E77" s="8"/>
      <c r="F77" s="7"/>
      <c r="G77" s="8"/>
      <c r="H77" s="8"/>
      <c r="I77" s="8"/>
      <c r="J77" s="8"/>
      <c r="K77" s="8"/>
      <c r="L77" s="8"/>
      <c r="M77" s="8">
        <v>76.8</v>
      </c>
      <c r="N77" s="8">
        <v>152.97</v>
      </c>
      <c r="O77" s="8">
        <v>35.659999999999997</v>
      </c>
      <c r="P77" s="9">
        <f>IFERROR(IF(ROW()-ROW(Dados14333619[[#Headers],[Total]])=1,Dados14333619[[#This Row],[Abril]]+Dados14333619[[#This Row],[Fevereiro]],SUM(INDEX(Dados14333619[Fevereiro],1,1):Dados14333619[[#This Row],[Fevereiro]],INDEX(Dados14333619[Abril],1,1):Dados14333619[[#This Row],[Abril]])),"")</f>
        <v>1587</v>
      </c>
    </row>
    <row r="78" spans="2:16" ht="30" customHeight="1" x14ac:dyDescent="0.4">
      <c r="B78" s="6" t="s">
        <v>78</v>
      </c>
      <c r="C78" s="6"/>
      <c r="D78" s="7"/>
      <c r="E78" s="8"/>
      <c r="F78" s="7"/>
      <c r="G78" s="8"/>
      <c r="H78" s="8"/>
      <c r="I78" s="8"/>
      <c r="J78" s="8"/>
      <c r="K78" s="8"/>
      <c r="L78" s="8"/>
      <c r="M78" s="8"/>
      <c r="N78" s="8"/>
      <c r="O78" s="8"/>
      <c r="P78" s="9">
        <f>IFERROR(IF(ROW()-ROW(Dados14333619[[#Headers],[Total]])=1,Dados14333619[[#This Row],[Abril]]+Dados14333619[[#This Row],[Fevereiro]],SUM(INDEX(Dados14333619[Fevereiro],1,1):Dados14333619[[#This Row],[Fevereiro]],INDEX(Dados14333619[Abril],1,1):Dados14333619[[#This Row],[Abril]])),"")</f>
        <v>1587</v>
      </c>
    </row>
    <row r="79" spans="2:16" ht="30" customHeight="1" x14ac:dyDescent="0.4">
      <c r="B79" s="6" t="s">
        <v>63</v>
      </c>
      <c r="C79" s="6"/>
      <c r="D79" s="7"/>
      <c r="E79" s="8"/>
      <c r="F79" s="7"/>
      <c r="G79" s="8"/>
      <c r="H79" s="8"/>
      <c r="I79" s="8"/>
      <c r="J79" s="8"/>
      <c r="K79" s="8"/>
      <c r="L79" s="8"/>
      <c r="M79" s="8"/>
      <c r="N79" s="8"/>
      <c r="O79" s="8"/>
      <c r="P79" s="9">
        <f>IFERROR(IF(ROW()-ROW(Dados14333619[[#Headers],[Total]])=1,Dados14333619[[#This Row],[Abril]]+Dados14333619[[#This Row],[Fevereiro]],SUM(INDEX(Dados14333619[Fevereiro],1,1):Dados14333619[[#This Row],[Fevereiro]],INDEX(Dados14333619[Abril],1,1):Dados14333619[[#This Row],[Abril]])),"")</f>
        <v>1587</v>
      </c>
    </row>
    <row r="80" spans="2:16" ht="30" customHeight="1" x14ac:dyDescent="0.4">
      <c r="B80" s="6" t="s">
        <v>64</v>
      </c>
      <c r="C80" s="6"/>
      <c r="D80" s="7">
        <v>410.69</v>
      </c>
      <c r="E80" s="8">
        <v>352.71</v>
      </c>
      <c r="F80" s="7">
        <v>425.72</v>
      </c>
      <c r="G80" s="8">
        <v>368.8</v>
      </c>
      <c r="H80" s="8">
        <v>309.3</v>
      </c>
      <c r="I80" s="8">
        <f>325.12-82.75</f>
        <v>242.37</v>
      </c>
      <c r="J80" s="8">
        <v>307.73</v>
      </c>
      <c r="K80" s="8">
        <v>429.38</v>
      </c>
      <c r="L80" s="8">
        <v>441.5</v>
      </c>
      <c r="M80" s="8"/>
      <c r="N80" s="8"/>
      <c r="O80" s="8"/>
      <c r="P80" s="9">
        <f>IFERROR(IF(ROW()-ROW(Dados14333619[[#Headers],[Total]])=1,Dados14333619[[#This Row],[Abril]]+Dados14333619[[#This Row],[Fevereiro]],SUM(INDEX(Dados14333619[Fevereiro],1,1):Dados14333619[[#This Row],[Fevereiro]],INDEX(Dados14333619[Abril],1,1):Dados14333619[[#This Row],[Abril]])),"")</f>
        <v>2308.5099999999998</v>
      </c>
    </row>
    <row r="81" spans="2:16" ht="30" customHeight="1" x14ac:dyDescent="0.4">
      <c r="B81" s="6" t="s">
        <v>65</v>
      </c>
      <c r="C81" s="6"/>
      <c r="D81" s="7">
        <v>137.22</v>
      </c>
      <c r="E81" s="8">
        <v>285.89999999999998</v>
      </c>
      <c r="F81" s="7">
        <v>291.74</v>
      </c>
      <c r="G81" s="8">
        <v>388.14</v>
      </c>
      <c r="H81" s="8">
        <v>254.43</v>
      </c>
      <c r="I81" s="8">
        <v>353.12</v>
      </c>
      <c r="J81" s="8">
        <v>336.91</v>
      </c>
      <c r="K81" s="8">
        <v>403.44</v>
      </c>
      <c r="L81" s="8">
        <v>522.20000000000005</v>
      </c>
      <c r="M81" s="8"/>
      <c r="N81" s="8"/>
      <c r="O81" s="8"/>
      <c r="P81" s="9">
        <f>IFERROR(IF(ROW()-ROW(Dados14333619[[#Headers],[Total]])=1,Dados14333619[[#This Row],[Abril]]+Dados14333619[[#This Row],[Fevereiro]],SUM(INDEX(Dados14333619[Fevereiro],1,1):Dados14333619[[#This Row],[Fevereiro]],INDEX(Dados14333619[Abril],1,1):Dados14333619[[#This Row],[Abril]])),"")</f>
        <v>2982.55</v>
      </c>
    </row>
    <row r="82" spans="2:16" ht="30" customHeight="1" x14ac:dyDescent="0.4">
      <c r="B82" s="6" t="s">
        <v>66</v>
      </c>
      <c r="C82" s="6"/>
      <c r="D82" s="7"/>
      <c r="E82" s="8"/>
      <c r="F82" s="7"/>
      <c r="G82" s="8"/>
      <c r="H82" s="8"/>
      <c r="I82" s="8"/>
      <c r="J82" s="8"/>
      <c r="K82" s="8"/>
      <c r="L82" s="8"/>
      <c r="M82" s="8"/>
      <c r="N82" s="8"/>
      <c r="O82" s="8"/>
      <c r="P82" s="9">
        <f>IFERROR(IF(ROW()-ROW(Dados14333619[[#Headers],[Total]])=1,Dados14333619[[#This Row],[Abril]]+Dados14333619[[#This Row],[Fevereiro]],SUM(INDEX(Dados14333619[Fevereiro],1,1):Dados14333619[[#This Row],[Fevereiro]],INDEX(Dados14333619[Abril],1,1):Dados14333619[[#This Row],[Abril]])),"")</f>
        <v>2982.55</v>
      </c>
    </row>
    <row r="83" spans="2:16" ht="30" customHeight="1" x14ac:dyDescent="0.4">
      <c r="B83" s="6" t="s">
        <v>79</v>
      </c>
      <c r="C83" s="6"/>
      <c r="D83" s="7"/>
      <c r="E83" s="8"/>
      <c r="F83" s="7"/>
      <c r="G83" s="8"/>
      <c r="H83" s="8"/>
      <c r="I83" s="8"/>
      <c r="J83" s="8"/>
      <c r="K83" s="8"/>
      <c r="L83" s="8"/>
      <c r="M83" s="8"/>
      <c r="N83" s="8"/>
      <c r="O83" s="8"/>
      <c r="P83" s="9">
        <f>IFERROR(IF(ROW()-ROW(Dados14333619[[#Headers],[Total]])=1,Dados14333619[[#This Row],[Abril]]+Dados14333619[[#This Row],[Fevereiro]],SUM(INDEX(Dados14333619[Fevereiro],1,1):Dados14333619[[#This Row],[Fevereiro]],INDEX(Dados14333619[Abril],1,1):Dados14333619[[#This Row],[Abril]])),"")</f>
        <v>2982.55</v>
      </c>
    </row>
    <row r="84" spans="2:16" ht="30" customHeight="1" x14ac:dyDescent="0.4">
      <c r="B84" s="6" t="s">
        <v>80</v>
      </c>
      <c r="C84" s="6"/>
      <c r="D84" s="7"/>
      <c r="E84" s="8"/>
      <c r="F84" s="7"/>
      <c r="G84" s="8"/>
      <c r="H84" s="8"/>
      <c r="I84" s="8"/>
      <c r="J84" s="8"/>
      <c r="K84" s="8"/>
      <c r="L84" s="8"/>
      <c r="M84" s="8"/>
      <c r="N84" s="8"/>
      <c r="O84" s="8"/>
      <c r="P84" s="9">
        <f>IFERROR(IF(ROW()-ROW(Dados14333619[[#Headers],[Total]])=1,Dados14333619[[#This Row],[Abril]]+Dados14333619[[#This Row],[Fevereiro]],SUM(INDEX(Dados14333619[Fevereiro],1,1):Dados14333619[[#This Row],[Fevereiro]],INDEX(Dados14333619[Abril],1,1):Dados14333619[[#This Row],[Abril]])),"")</f>
        <v>2982.55</v>
      </c>
    </row>
    <row r="85" spans="2:16" ht="30" customHeight="1" x14ac:dyDescent="0.4">
      <c r="B85" s="6" t="s">
        <v>81</v>
      </c>
      <c r="C85" s="6"/>
      <c r="D85" s="7"/>
      <c r="E85" s="8"/>
      <c r="F85" s="7"/>
      <c r="G85" s="8"/>
      <c r="H85" s="8"/>
      <c r="I85" s="8"/>
      <c r="J85" s="8"/>
      <c r="K85" s="8"/>
      <c r="L85" s="8"/>
      <c r="M85" s="8"/>
      <c r="N85" s="8"/>
      <c r="O85" s="8"/>
      <c r="P85" s="9">
        <f>IFERROR(IF(ROW()-ROW(Dados14333619[[#Headers],[Total]])=1,Dados14333619[[#This Row],[Abril]]+Dados14333619[[#This Row],[Fevereiro]],SUM(INDEX(Dados14333619[Fevereiro],1,1):Dados14333619[[#This Row],[Fevereiro]],INDEX(Dados14333619[Abril],1,1):Dados14333619[[#This Row],[Abril]])),"")</f>
        <v>2982.55</v>
      </c>
    </row>
    <row r="86" spans="2:16" ht="30" customHeight="1" x14ac:dyDescent="0.4">
      <c r="B86" s="6" t="s">
        <v>82</v>
      </c>
      <c r="C86" s="6"/>
      <c r="D86" s="7"/>
      <c r="E86" s="7"/>
      <c r="F86" s="7"/>
      <c r="G86" s="7"/>
      <c r="H86" s="8"/>
      <c r="I86" s="8"/>
      <c r="J86" s="8"/>
      <c r="K86" s="8"/>
      <c r="L86" s="8"/>
      <c r="M86" s="8"/>
      <c r="N86" s="8"/>
      <c r="O86" s="8"/>
      <c r="P86" s="3">
        <f>IFERROR(IF(ROW()-ROW(Dados14333619[[#Headers],[Total]])=1,Dados14333619[[#This Row],[Abril]]+Dados14333619[[#This Row],[Fevereiro]],SUM(INDEX(Dados14333619[Fevereiro],1,1):Dados14333619[[#This Row],[Fevereiro]],INDEX(Dados14333619[Abril],1,1):Dados14333619[[#This Row],[Abril]])),"")</f>
        <v>2982.55</v>
      </c>
    </row>
    <row r="87" spans="2:16" ht="30" customHeight="1" x14ac:dyDescent="0.4">
      <c r="B87" s="6" t="s">
        <v>83</v>
      </c>
      <c r="C87" s="6"/>
      <c r="D87" s="7"/>
      <c r="E87" s="10"/>
      <c r="F87" s="7"/>
      <c r="G87" s="10"/>
      <c r="H87" s="8"/>
      <c r="I87" s="8"/>
      <c r="J87" s="8"/>
      <c r="K87" s="8"/>
      <c r="L87" s="8"/>
      <c r="M87" s="8"/>
      <c r="N87" s="8"/>
      <c r="O87" s="8"/>
      <c r="P87" s="3">
        <f>IFERROR(IF(ROW()-ROW(Dados14333619[[#Headers],[Total]])=1,Dados14333619[[#This Row],[Abril]]+Dados14333619[[#This Row],[Fevereiro]],SUM(INDEX(Dados14333619[Fevereiro],1,1):Dados14333619[[#This Row],[Fevereiro]],INDEX(Dados14333619[Abril],1,1):Dados14333619[[#This Row],[Abril]])),"")</f>
        <v>2982.55</v>
      </c>
    </row>
    <row r="88" spans="2:16" ht="30" customHeight="1" x14ac:dyDescent="0.4">
      <c r="B88" s="3" t="s">
        <v>16</v>
      </c>
      <c r="C88" s="3"/>
      <c r="D88" s="17">
        <f>SUBTOTAL(109,Dados14333619[Janeiro])</f>
        <v>985.15000000000009</v>
      </c>
      <c r="E88" s="17">
        <f>SUBTOTAL(109,Dados14333619[Fevereiro])</f>
        <v>1430.5299999999997</v>
      </c>
      <c r="F88" s="17">
        <f>SUBTOTAL(109,Dados14333619[Março])</f>
        <v>1439.8700000000001</v>
      </c>
      <c r="G88" s="17">
        <f>SUBTOTAL(109,Dados14333619[Abril])</f>
        <v>1552.02</v>
      </c>
      <c r="H88" s="17">
        <f>SUBTOTAL(109,Dados14333619[Maio])</f>
        <v>1358.8000000000002</v>
      </c>
      <c r="I88" s="17">
        <f>SUBTOTAL(109,Dados14333619[Junho])</f>
        <v>1532.5500000000002</v>
      </c>
      <c r="J88" s="17">
        <f>SUBTOTAL(109,Dados14333619[Julho])</f>
        <v>1750.8000000000002</v>
      </c>
      <c r="K88" s="17">
        <f>SUBTOTAL(109,Dados14333619[Agosto])</f>
        <v>1826.7</v>
      </c>
      <c r="L88" s="17">
        <f>SUBTOTAL(109,Dados14333619[Setembro])</f>
        <v>1837.8799999999999</v>
      </c>
      <c r="M88" s="17">
        <f>SUBTOTAL(109,Dados14333619[Outubro])</f>
        <v>1098.8500000000001</v>
      </c>
      <c r="N88" s="17">
        <f>SUBTOTAL(109,Dados14333619[Novembro])</f>
        <v>1156.8800000000001</v>
      </c>
      <c r="O88" s="17">
        <f>SUBTOTAL(109,Dados14333619[Dezembro])</f>
        <v>662.93</v>
      </c>
      <c r="P88" s="3"/>
    </row>
    <row r="89" spans="2:16" ht="30" customHeight="1" x14ac:dyDescent="0.4">
      <c r="B89" s="3"/>
      <c r="C89" s="3"/>
      <c r="D89" s="3"/>
      <c r="E89" s="10"/>
      <c r="F89" s="3"/>
      <c r="G89" s="10"/>
      <c r="H89" s="10"/>
      <c r="I89" s="10"/>
      <c r="J89" s="10"/>
      <c r="K89" s="10"/>
      <c r="L89" s="10"/>
      <c r="M89" s="10"/>
      <c r="N89" s="10"/>
      <c r="O89" s="10"/>
      <c r="P89" s="3"/>
    </row>
    <row r="90" spans="2:16" ht="30" customHeight="1" x14ac:dyDescent="0.4">
      <c r="B90" s="2" t="s">
        <v>87</v>
      </c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2:16" ht="30" customHeight="1" x14ac:dyDescent="0.4">
      <c r="B91" s="3" t="s">
        <v>2</v>
      </c>
      <c r="C91" s="3" t="s">
        <v>3</v>
      </c>
      <c r="D91" s="4" t="s">
        <v>4</v>
      </c>
      <c r="E91" s="4" t="s">
        <v>5</v>
      </c>
      <c r="F91" s="4" t="s">
        <v>6</v>
      </c>
      <c r="G91" s="4" t="s">
        <v>7</v>
      </c>
      <c r="H91" s="4" t="s">
        <v>8</v>
      </c>
      <c r="I91" s="4" t="s">
        <v>9</v>
      </c>
      <c r="J91" s="4" t="s">
        <v>10</v>
      </c>
      <c r="K91" s="4" t="s">
        <v>11</v>
      </c>
      <c r="L91" s="4" t="s">
        <v>12</v>
      </c>
      <c r="M91" s="4" t="s">
        <v>13</v>
      </c>
      <c r="N91" s="4" t="s">
        <v>14</v>
      </c>
      <c r="O91" s="4" t="s">
        <v>15</v>
      </c>
      <c r="P91" s="5" t="s">
        <v>16</v>
      </c>
    </row>
    <row r="92" spans="2:16" ht="30" customHeight="1" x14ac:dyDescent="0.4">
      <c r="B92" s="6" t="s">
        <v>24</v>
      </c>
      <c r="C92" s="6"/>
      <c r="D92" s="7"/>
      <c r="E92" s="8"/>
      <c r="F92" s="7"/>
      <c r="G92" s="8"/>
      <c r="H92" s="21">
        <v>53.45</v>
      </c>
      <c r="I92" s="8"/>
      <c r="J92" s="8"/>
      <c r="K92" s="8"/>
      <c r="L92" s="8"/>
      <c r="M92" s="8"/>
      <c r="N92" s="8"/>
      <c r="O92" s="8"/>
      <c r="P92" s="9">
        <f>IFERROR(IF(ROW()-ROW(Dados14333417[[#Headers],[Total]])=1,Dados14333417[[#This Row],[Abril]]+Dados14333417[[#This Row],[Fevereiro]],SUM(INDEX(Dados14333417[Fevereiro],1,1):Dados14333417[[#This Row],[Fevereiro]],INDEX(Dados14333417[Abril],1,1):Dados14333417[[#This Row],[Abril]])), "")</f>
        <v>0</v>
      </c>
    </row>
    <row r="93" spans="2:16" ht="30" customHeight="1" x14ac:dyDescent="0.4">
      <c r="B93" s="6" t="s">
        <v>47</v>
      </c>
      <c r="C93" s="6"/>
      <c r="D93" s="7"/>
      <c r="E93" s="8">
        <v>62.69</v>
      </c>
      <c r="F93" s="7">
        <v>40.9</v>
      </c>
      <c r="G93" s="8">
        <v>91.87</v>
      </c>
      <c r="H93" s="8">
        <v>6.53</v>
      </c>
      <c r="I93" s="8"/>
      <c r="J93" s="8">
        <v>1.89</v>
      </c>
      <c r="K93" s="8">
        <v>3.04</v>
      </c>
      <c r="L93" s="8"/>
      <c r="M93" s="8"/>
      <c r="N93" s="8">
        <v>22.37</v>
      </c>
      <c r="O93" s="8"/>
      <c r="P93" s="9">
        <f>IFERROR(IF(ROW()-ROW(Dados14333417[[#Headers],[Total]])=1,Dados14333417[[#This Row],[Abril]]+Dados14333417[[#This Row],[Fevereiro]],SUM(INDEX(Dados14333417[Fevereiro],1,1):Dados14333417[[#This Row],[Fevereiro]],INDEX(Dados14333417[Abril],1,1):Dados14333417[[#This Row],[Abril]])),"")</f>
        <v>154.56</v>
      </c>
    </row>
    <row r="94" spans="2:16" ht="30" customHeight="1" x14ac:dyDescent="0.4">
      <c r="B94" s="6" t="s">
        <v>21</v>
      </c>
      <c r="C94" s="6"/>
      <c r="D94" s="7"/>
      <c r="E94" s="8"/>
      <c r="F94" s="7">
        <v>4.09</v>
      </c>
      <c r="G94" s="8">
        <v>31.49</v>
      </c>
      <c r="H94" s="8">
        <v>48.84</v>
      </c>
      <c r="I94" s="8">
        <v>18.34</v>
      </c>
      <c r="J94" s="8">
        <v>18.96</v>
      </c>
      <c r="K94" s="8"/>
      <c r="L94" s="8">
        <v>188.1</v>
      </c>
      <c r="M94" s="8">
        <v>171.56</v>
      </c>
      <c r="N94" s="8">
        <v>168.83</v>
      </c>
      <c r="O94" s="8">
        <v>143.94999999999999</v>
      </c>
      <c r="P94" s="9">
        <f>IFERROR(IF(ROW()-ROW(Dados14333417[[#Headers],[Total]])=1,Dados14333417[[#This Row],[Abril]]+Dados14333417[[#This Row],[Fevereiro]],SUM(INDEX(Dados14333417[Fevereiro],1,1):Dados14333417[[#This Row],[Fevereiro]],INDEX(Dados14333417[Abril],1,1):Dados14333417[[#This Row],[Abril]])),"")</f>
        <v>186.05</v>
      </c>
    </row>
    <row r="95" spans="2:16" ht="30" customHeight="1" x14ac:dyDescent="0.4">
      <c r="B95" s="6" t="s">
        <v>23</v>
      </c>
      <c r="C95" s="6"/>
      <c r="D95" s="7"/>
      <c r="E95" s="8"/>
      <c r="F95" s="7">
        <v>67.2</v>
      </c>
      <c r="G95" s="8">
        <v>105.1</v>
      </c>
      <c r="H95" s="8">
        <v>93.58</v>
      </c>
      <c r="I95" s="8">
        <v>87.74</v>
      </c>
      <c r="J95" s="8">
        <v>106</v>
      </c>
      <c r="K95" s="8">
        <v>52.11</v>
      </c>
      <c r="L95" s="8">
        <v>120.88</v>
      </c>
      <c r="M95" s="8">
        <v>146.33000000000001</v>
      </c>
      <c r="N95" s="8">
        <v>226.16</v>
      </c>
      <c r="O95" s="8">
        <v>208.89</v>
      </c>
      <c r="P95" s="9">
        <f>IFERROR(IF(ROW()-ROW(Dados14333417[[#Headers],[Total]])=1,Dados14333417[[#This Row],[Abril]]+Dados14333417[[#This Row],[Fevereiro]],SUM(INDEX(Dados14333417[Fevereiro],1,1):Dados14333417[[#This Row],[Fevereiro]],INDEX(Dados14333417[Abril],1,1):Dados14333417[[#This Row],[Abril]])),"")</f>
        <v>291.14999999999998</v>
      </c>
    </row>
    <row r="96" spans="2:16" ht="30" customHeight="1" x14ac:dyDescent="0.4">
      <c r="B96" s="6" t="s">
        <v>60</v>
      </c>
      <c r="C96" s="6"/>
      <c r="D96" s="7"/>
      <c r="E96" s="8">
        <v>53.2</v>
      </c>
      <c r="F96" s="7">
        <v>83.68</v>
      </c>
      <c r="G96" s="8">
        <v>27.53</v>
      </c>
      <c r="H96" s="8">
        <v>5.82</v>
      </c>
      <c r="I96" s="8">
        <v>1.07</v>
      </c>
      <c r="J96" s="8"/>
      <c r="K96" s="8">
        <v>24.26</v>
      </c>
      <c r="L96" s="8">
        <v>16.23</v>
      </c>
      <c r="M96" s="8">
        <v>3.89</v>
      </c>
      <c r="N96" s="8">
        <v>3.19</v>
      </c>
      <c r="O96" s="8"/>
      <c r="P96" s="9">
        <f>IFERROR(IF(ROW()-ROW(Dados14333417[[#Headers],[Total]])=1,Dados14333417[[#This Row],[Abril]]+Dados14333417[[#This Row],[Fevereiro]],SUM(INDEX(Dados14333417[Fevereiro],1,1):Dados14333417[[#This Row],[Fevereiro]],INDEX(Dados14333417[Abril],1,1):Dados14333417[[#This Row],[Abril]])),"")</f>
        <v>371.88</v>
      </c>
    </row>
    <row r="97" spans="2:16" ht="30" customHeight="1" x14ac:dyDescent="0.4">
      <c r="B97" s="6" t="s">
        <v>17</v>
      </c>
      <c r="C97" s="6"/>
      <c r="D97" s="7"/>
      <c r="E97" s="8">
        <v>57.95</v>
      </c>
      <c r="F97" s="7">
        <v>515.25</v>
      </c>
      <c r="G97" s="8">
        <v>16.13</v>
      </c>
      <c r="H97" s="8">
        <v>13.04</v>
      </c>
      <c r="I97" s="8">
        <v>50.98</v>
      </c>
      <c r="J97" s="8">
        <v>6.27</v>
      </c>
      <c r="K97" s="8"/>
      <c r="L97" s="8">
        <v>120</v>
      </c>
      <c r="M97" s="8"/>
      <c r="N97" s="8">
        <v>6.88</v>
      </c>
      <c r="O97" s="8"/>
      <c r="P97" s="9">
        <f>IFERROR(IF(ROW()-ROW(Dados14333417[[#Headers],[Total]])=1,Dados14333417[[#This Row],[Abril]]+Dados14333417[[#This Row],[Fevereiro]],SUM(INDEX(Dados14333417[Fevereiro],1,1):Dados14333417[[#This Row],[Fevereiro]],INDEX(Dados14333417[Abril],1,1):Dados14333417[[#This Row],[Abril]])),"")</f>
        <v>445.96000000000004</v>
      </c>
    </row>
    <row r="98" spans="2:16" ht="30" customHeight="1" x14ac:dyDescent="0.4">
      <c r="B98" s="6" t="s">
        <v>25</v>
      </c>
      <c r="C98" s="6"/>
      <c r="D98" s="7"/>
      <c r="E98" s="8"/>
      <c r="F98" s="7">
        <v>136.87</v>
      </c>
      <c r="G98" s="8">
        <v>2.46</v>
      </c>
      <c r="H98" s="8">
        <v>3.22</v>
      </c>
      <c r="I98" s="8">
        <v>34.5</v>
      </c>
      <c r="J98" s="8"/>
      <c r="K98" s="8"/>
      <c r="L98" s="8"/>
      <c r="M98" s="8">
        <v>2.94</v>
      </c>
      <c r="N98" s="8">
        <v>14.05</v>
      </c>
      <c r="O98" s="8"/>
      <c r="P98" s="9">
        <f>IFERROR(IF(ROW()-ROW(Dados14333417[[#Headers],[Total]])=1,Dados14333417[[#This Row],[Abril]]+Dados14333417[[#This Row],[Fevereiro]],SUM(INDEX(Dados14333417[Fevereiro],1,1):Dados14333417[[#This Row],[Fevereiro]],INDEX(Dados14333417[Abril],1,1):Dados14333417[[#This Row],[Abril]])),"")</f>
        <v>448.42</v>
      </c>
    </row>
    <row r="99" spans="2:16" ht="30" customHeight="1" x14ac:dyDescent="0.4">
      <c r="B99" s="6" t="s">
        <v>61</v>
      </c>
      <c r="C99" s="6"/>
      <c r="D99" s="7"/>
      <c r="E99" s="8"/>
      <c r="F99" s="7"/>
      <c r="G99" s="8">
        <v>44.79</v>
      </c>
      <c r="H99" s="8">
        <v>2.74</v>
      </c>
      <c r="I99" s="8"/>
      <c r="J99" s="8">
        <v>1.75</v>
      </c>
      <c r="K99" s="8">
        <v>2.84</v>
      </c>
      <c r="L99" s="8">
        <v>12.03</v>
      </c>
      <c r="M99" s="8">
        <v>5.71</v>
      </c>
      <c r="N99" s="8">
        <v>29.86</v>
      </c>
      <c r="O99" s="8"/>
      <c r="P99" s="9">
        <f>IFERROR(IF(ROW()-ROW(Dados14333417[[#Headers],[Total]])=1,Dados14333417[[#This Row],[Abril]]+Dados14333417[[#This Row],[Fevereiro]],SUM(INDEX(Dados14333417[Fevereiro],1,1):Dados14333417[[#This Row],[Fevereiro]],INDEX(Dados14333417[Abril],1,1):Dados14333417[[#This Row],[Abril]])),"")</f>
        <v>493.21000000000004</v>
      </c>
    </row>
    <row r="100" spans="2:16" ht="30" customHeight="1" x14ac:dyDescent="0.4">
      <c r="B100" s="6" t="s">
        <v>78</v>
      </c>
      <c r="C100" s="6"/>
      <c r="D100" s="7"/>
      <c r="E100" s="8"/>
      <c r="F100" s="7"/>
      <c r="G100" s="8">
        <v>3.5</v>
      </c>
      <c r="H100" s="8"/>
      <c r="I100" s="8"/>
      <c r="J100" s="8">
        <v>12.08</v>
      </c>
      <c r="K100" s="8"/>
      <c r="L100" s="8"/>
      <c r="M100" s="8">
        <v>28.09</v>
      </c>
      <c r="N100" s="8">
        <v>123.41</v>
      </c>
      <c r="O100" s="8"/>
      <c r="P100" s="9">
        <f>IFERROR(IF(ROW()-ROW(Dados14333417[[#Headers],[Total]])=1,Dados14333417[[#This Row],[Abril]]+Dados14333417[[#This Row],[Fevereiro]],SUM(INDEX(Dados14333417[Fevereiro],1,1):Dados14333417[[#This Row],[Fevereiro]],INDEX(Dados14333417[Abril],1,1):Dados14333417[[#This Row],[Abril]])),"")</f>
        <v>496.71000000000004</v>
      </c>
    </row>
    <row r="101" spans="2:16" ht="30" customHeight="1" x14ac:dyDescent="0.4">
      <c r="B101" s="6" t="s">
        <v>63</v>
      </c>
      <c r="C101" s="6"/>
      <c r="D101" s="7"/>
      <c r="E101" s="8"/>
      <c r="F101" s="7"/>
      <c r="G101" s="8">
        <v>0.96</v>
      </c>
      <c r="H101" s="8">
        <v>3.4</v>
      </c>
      <c r="I101" s="8"/>
      <c r="J101" s="8">
        <v>3.36</v>
      </c>
      <c r="K101" s="8">
        <v>0.96</v>
      </c>
      <c r="L101" s="8">
        <v>1</v>
      </c>
      <c r="M101" s="8">
        <v>10.66</v>
      </c>
      <c r="N101" s="8">
        <v>15.23</v>
      </c>
      <c r="O101" s="8">
        <v>2.1</v>
      </c>
      <c r="P101" s="9">
        <f>IFERROR(IF(ROW()-ROW(Dados14333417[[#Headers],[Total]])=1,Dados14333417[[#This Row],[Abril]]+Dados14333417[[#This Row],[Fevereiro]],SUM(INDEX(Dados14333417[Fevereiro],1,1):Dados14333417[[#This Row],[Fevereiro]],INDEX(Dados14333417[Abril],1,1):Dados14333417[[#This Row],[Abril]])),"")</f>
        <v>497.67</v>
      </c>
    </row>
    <row r="102" spans="2:16" ht="30" customHeight="1" x14ac:dyDescent="0.4">
      <c r="B102" s="6" t="s">
        <v>64</v>
      </c>
      <c r="C102" s="6"/>
      <c r="D102" s="7"/>
      <c r="E102" s="8">
        <v>103.7</v>
      </c>
      <c r="F102" s="7">
        <v>421.66</v>
      </c>
      <c r="G102" s="8"/>
      <c r="H102" s="8">
        <v>29.4</v>
      </c>
      <c r="I102" s="8"/>
      <c r="J102" s="8"/>
      <c r="K102" s="8">
        <v>3.48</v>
      </c>
      <c r="L102" s="8">
        <v>136.47999999999999</v>
      </c>
      <c r="M102" s="8"/>
      <c r="N102" s="8"/>
      <c r="O102" s="8"/>
      <c r="P102" s="9">
        <f>IFERROR(IF(ROW()-ROW(Dados14333417[[#Headers],[Total]])=1,Dados14333417[[#This Row],[Abril]]+Dados14333417[[#This Row],[Fevereiro]],SUM(INDEX(Dados14333417[Fevereiro],1,1):Dados14333417[[#This Row],[Fevereiro]],INDEX(Dados14333417[Abril],1,1):Dados14333417[[#This Row],[Abril]])),"")</f>
        <v>601.37</v>
      </c>
    </row>
    <row r="103" spans="2:16" ht="30" customHeight="1" x14ac:dyDescent="0.4">
      <c r="B103" s="6" t="s">
        <v>65</v>
      </c>
      <c r="C103" s="6"/>
      <c r="D103" s="7"/>
      <c r="E103" s="8">
        <v>78.59</v>
      </c>
      <c r="F103" s="7">
        <v>268.89000000000004</v>
      </c>
      <c r="G103" s="8">
        <v>1.21</v>
      </c>
      <c r="H103" s="8">
        <v>17.7</v>
      </c>
      <c r="I103" s="8">
        <v>70.97</v>
      </c>
      <c r="J103" s="8">
        <v>1.65</v>
      </c>
      <c r="K103" s="8">
        <v>1.21</v>
      </c>
      <c r="L103" s="8">
        <v>168.28</v>
      </c>
      <c r="M103" s="8"/>
      <c r="N103" s="8"/>
      <c r="O103" s="8"/>
      <c r="P103" s="9">
        <f>IFERROR(IF(ROW()-ROW(Dados14333417[[#Headers],[Total]])=1,Dados14333417[[#This Row],[Abril]]+Dados14333417[[#This Row],[Fevereiro]],SUM(INDEX(Dados14333417[Fevereiro],1,1):Dados14333417[[#This Row],[Fevereiro]],INDEX(Dados14333417[Abril],1,1):Dados14333417[[#This Row],[Abril]])),"")</f>
        <v>681.17000000000007</v>
      </c>
    </row>
    <row r="104" spans="2:16" ht="30" customHeight="1" x14ac:dyDescent="0.4">
      <c r="B104" s="6" t="s">
        <v>66</v>
      </c>
      <c r="C104" s="6"/>
      <c r="D104" s="7"/>
      <c r="E104" s="8">
        <v>57.95</v>
      </c>
      <c r="F104" s="7">
        <v>97.57</v>
      </c>
      <c r="G104" s="8">
        <v>2.94</v>
      </c>
      <c r="H104" s="8"/>
      <c r="I104" s="8"/>
      <c r="J104" s="8"/>
      <c r="K104" s="8"/>
      <c r="L104" s="8"/>
      <c r="M104" s="8"/>
      <c r="N104" s="8"/>
      <c r="O104" s="8"/>
      <c r="P104" s="9">
        <f>IFERROR(IF(ROW()-ROW(Dados14333417[[#Headers],[Total]])=1,Dados14333417[[#This Row],[Abril]]+Dados14333417[[#This Row],[Fevereiro]],SUM(INDEX(Dados14333417[Fevereiro],1,1):Dados14333417[[#This Row],[Fevereiro]],INDEX(Dados14333417[Abril],1,1):Dados14333417[[#This Row],[Abril]])),"")</f>
        <v>742.06000000000006</v>
      </c>
    </row>
    <row r="105" spans="2:16" ht="30" customHeight="1" x14ac:dyDescent="0.4">
      <c r="B105" s="6" t="s">
        <v>79</v>
      </c>
      <c r="C105" s="6"/>
      <c r="D105" s="7"/>
      <c r="E105" s="8"/>
      <c r="F105" s="7"/>
      <c r="G105" s="8"/>
      <c r="H105" s="8"/>
      <c r="I105" s="8"/>
      <c r="J105" s="8"/>
      <c r="K105" s="8"/>
      <c r="L105" s="8"/>
      <c r="M105" s="8"/>
      <c r="N105" s="8">
        <v>28.18</v>
      </c>
      <c r="O105" s="8">
        <v>3.69</v>
      </c>
      <c r="P105" s="9">
        <f>IFERROR(IF(ROW()-ROW(Dados14333417[[#Headers],[Total]])=1,Dados14333417[[#This Row],[Abril]]+Dados14333417[[#This Row],[Fevereiro]],SUM(INDEX(Dados14333417[Fevereiro],1,1):Dados14333417[[#This Row],[Fevereiro]],INDEX(Dados14333417[Abril],1,1):Dados14333417[[#This Row],[Abril]])),"")</f>
        <v>742.06000000000006</v>
      </c>
    </row>
    <row r="106" spans="2:16" ht="30" customHeight="1" x14ac:dyDescent="0.4">
      <c r="B106" s="6" t="s">
        <v>80</v>
      </c>
      <c r="C106" s="6"/>
      <c r="D106" s="7"/>
      <c r="E106" s="8"/>
      <c r="F106" s="7"/>
      <c r="G106" s="8"/>
      <c r="H106" s="8"/>
      <c r="I106" s="8"/>
      <c r="J106" s="8"/>
      <c r="K106" s="8"/>
      <c r="L106" s="8"/>
      <c r="M106" s="8"/>
      <c r="N106" s="8"/>
      <c r="O106" s="8"/>
      <c r="P106" s="9">
        <f>IFERROR(IF(ROW()-ROW(Dados14333417[[#Headers],[Total]])=1,Dados14333417[[#This Row],[Abril]]+Dados14333417[[#This Row],[Fevereiro]],SUM(INDEX(Dados14333417[Fevereiro],1,1):Dados14333417[[#This Row],[Fevereiro]],INDEX(Dados14333417[Abril],1,1):Dados14333417[[#This Row],[Abril]])),"")</f>
        <v>742.06000000000006</v>
      </c>
    </row>
    <row r="107" spans="2:16" ht="30" customHeight="1" x14ac:dyDescent="0.4">
      <c r="B107" s="6" t="s">
        <v>81</v>
      </c>
      <c r="C107" s="6"/>
      <c r="D107" s="7"/>
      <c r="E107" s="8"/>
      <c r="F107" s="7"/>
      <c r="G107" s="8"/>
      <c r="H107" s="8"/>
      <c r="I107" s="8"/>
      <c r="J107" s="8"/>
      <c r="K107" s="8"/>
      <c r="L107" s="8"/>
      <c r="M107" s="8"/>
      <c r="N107" s="8"/>
      <c r="O107" s="8"/>
      <c r="P107" s="9">
        <f>IFERROR(IF(ROW()-ROW(Dados14333417[[#Headers],[Total]])=1,Dados14333417[[#This Row],[Abril]]+Dados14333417[[#This Row],[Fevereiro]],SUM(INDEX(Dados14333417[Fevereiro],1,1):Dados14333417[[#This Row],[Fevereiro]],INDEX(Dados14333417[Abril],1,1):Dados14333417[[#This Row],[Abril]])),"")</f>
        <v>742.06000000000006</v>
      </c>
    </row>
    <row r="108" spans="2:16" ht="30" customHeight="1" x14ac:dyDescent="0.4">
      <c r="B108" s="6" t="s">
        <v>82</v>
      </c>
      <c r="C108" s="6"/>
      <c r="D108" s="7"/>
      <c r="E108" s="7"/>
      <c r="F108" s="7"/>
      <c r="G108" s="7"/>
      <c r="H108" s="8"/>
      <c r="I108" s="8">
        <v>29.16</v>
      </c>
      <c r="J108" s="8"/>
      <c r="K108" s="8"/>
      <c r="L108" s="8"/>
      <c r="M108" s="8"/>
      <c r="N108" s="8"/>
      <c r="O108" s="8"/>
      <c r="P108" s="3">
        <f>IFERROR(IF(ROW()-ROW(Dados14333417[[#Headers],[Total]])=1,Dados14333417[[#This Row],[Abril]]+Dados14333417[[#This Row],[Fevereiro]],SUM(INDEX(Dados14333417[Fevereiro],1,1):Dados14333417[[#This Row],[Fevereiro]],INDEX(Dados14333417[Abril],1,1):Dados14333417[[#This Row],[Abril]])),"")</f>
        <v>742.06000000000006</v>
      </c>
    </row>
    <row r="109" spans="2:16" ht="30" customHeight="1" x14ac:dyDescent="0.4">
      <c r="B109" s="6" t="s">
        <v>83</v>
      </c>
      <c r="C109" s="6"/>
      <c r="D109" s="7"/>
      <c r="E109" s="10"/>
      <c r="F109" s="7"/>
      <c r="G109" s="10"/>
      <c r="H109" s="8"/>
      <c r="I109" s="8"/>
      <c r="J109" s="8"/>
      <c r="K109" s="8"/>
      <c r="L109" s="8"/>
      <c r="M109" s="8"/>
      <c r="N109" s="8"/>
      <c r="O109" s="8"/>
      <c r="P109" s="3">
        <f>IFERROR(IF(ROW()-ROW(Dados14333417[[#Headers],[Total]])=1,Dados14333417[[#This Row],[Abril]]+Dados14333417[[#This Row],[Fevereiro]],SUM(INDEX(Dados14333417[Fevereiro],1,1):Dados14333417[[#This Row],[Fevereiro]],INDEX(Dados14333417[Abril],1,1):Dados14333417[[#This Row],[Abril]])),"")</f>
        <v>742.06000000000006</v>
      </c>
    </row>
    <row r="110" spans="2:16" ht="30" customHeight="1" x14ac:dyDescent="0.4">
      <c r="B110" s="3" t="s">
        <v>16</v>
      </c>
      <c r="C110" s="3"/>
      <c r="D110" s="3"/>
      <c r="E110" s="22">
        <f>SUBTOTAL(109,Dados14333417[Fevereiro])</f>
        <v>414.08</v>
      </c>
      <c r="F110" s="22">
        <f>SUBTOTAL(109,Dados14333417[Março])</f>
        <v>1636.1100000000001</v>
      </c>
      <c r="G110" s="22">
        <f>SUBTOTAL(109,Dados14333417[Abril])</f>
        <v>327.97999999999996</v>
      </c>
      <c r="H110" s="22">
        <f>SUBTOTAL(109,Dados14333417[Maio])</f>
        <v>277.71999999999997</v>
      </c>
      <c r="I110" s="22">
        <f>SUBTOTAL(109,Dados14333417[Junho])</f>
        <v>292.76000000000005</v>
      </c>
      <c r="J110" s="22">
        <f>SUBTOTAL(109,Dados14333417[Julho])</f>
        <v>151.96000000000004</v>
      </c>
      <c r="K110" s="22">
        <f>SUBTOTAL(109,Dados14333417[Agosto])</f>
        <v>87.899999999999991</v>
      </c>
      <c r="L110" s="22">
        <f>SUBTOTAL(109,Dados14333417[Setembro])</f>
        <v>763</v>
      </c>
      <c r="M110" s="22">
        <f>SUBTOTAL(109,Dados14333417[Outubro])</f>
        <v>369.17999999999995</v>
      </c>
      <c r="N110" s="22">
        <f>SUBTOTAL(109,Dados14333417[Novembro])</f>
        <v>638.16</v>
      </c>
      <c r="O110" s="22">
        <f>SUBTOTAL(109,Dados14333417[Dezembro])</f>
        <v>358.63</v>
      </c>
      <c r="P110" s="10">
        <f>SUBTOTAL(109,Dados14333417[Total])</f>
        <v>9120.51</v>
      </c>
    </row>
    <row r="112" spans="2:16" ht="30" customHeight="1" x14ac:dyDescent="0.4">
      <c r="B112" s="2" t="s">
        <v>88</v>
      </c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2:16" ht="30" customHeight="1" x14ac:dyDescent="0.4">
      <c r="B113" s="3" t="s">
        <v>2</v>
      </c>
      <c r="C113" s="3" t="s">
        <v>3</v>
      </c>
      <c r="D113" s="4" t="s">
        <v>4</v>
      </c>
      <c r="E113" s="4" t="s">
        <v>5</v>
      </c>
      <c r="F113" s="4" t="s">
        <v>6</v>
      </c>
      <c r="G113" s="4" t="s">
        <v>7</v>
      </c>
      <c r="H113" s="4" t="s">
        <v>8</v>
      </c>
      <c r="I113" s="4" t="s">
        <v>9</v>
      </c>
      <c r="J113" s="4" t="s">
        <v>10</v>
      </c>
      <c r="K113" s="4" t="s">
        <v>11</v>
      </c>
      <c r="L113" s="4" t="s">
        <v>12</v>
      </c>
      <c r="M113" s="4" t="s">
        <v>13</v>
      </c>
      <c r="N113" s="4" t="s">
        <v>14</v>
      </c>
      <c r="O113" s="4" t="s">
        <v>15</v>
      </c>
      <c r="P113" s="5" t="s">
        <v>16</v>
      </c>
    </row>
    <row r="114" spans="2:16" ht="30" customHeight="1" x14ac:dyDescent="0.4">
      <c r="B114" s="6" t="s">
        <v>24</v>
      </c>
      <c r="C114" s="6"/>
      <c r="D114" s="7"/>
      <c r="E114" s="8"/>
      <c r="F114" s="7"/>
      <c r="G114" s="8"/>
      <c r="H114" s="21">
        <v>718.15</v>
      </c>
      <c r="I114" s="8"/>
      <c r="J114" s="8"/>
      <c r="K114" s="8"/>
      <c r="L114" s="8"/>
      <c r="M114" s="8"/>
      <c r="N114" s="8"/>
      <c r="O114" s="8"/>
      <c r="P114" s="9">
        <f>IFERROR(IF(ROW()-ROW(Dados1433341745[[#Headers],[Total]])=1,Dados1433341745[[#This Row],[Abril]]+Dados1433341745[[#This Row],[Fevereiro]],SUM(INDEX(Dados1433341745[Fevereiro],1,1):Dados1433341745[[#This Row],[Fevereiro]],INDEX(Dados1433341745[Abril],1,1):Dados1433341745[[#This Row],[Abril]])), "")</f>
        <v>0</v>
      </c>
    </row>
    <row r="115" spans="2:16" ht="30" customHeight="1" x14ac:dyDescent="0.4">
      <c r="B115" s="6" t="s">
        <v>47</v>
      </c>
      <c r="C115" s="6"/>
      <c r="D115" s="7"/>
      <c r="E115" s="8"/>
      <c r="F115" s="7"/>
      <c r="G115" s="8"/>
      <c r="H115" s="8"/>
      <c r="I115" s="8"/>
      <c r="J115" s="8"/>
      <c r="K115" s="8"/>
      <c r="L115" s="8"/>
      <c r="M115" s="8"/>
      <c r="N115" s="8"/>
      <c r="O115" s="8">
        <v>623.35</v>
      </c>
      <c r="P115" s="9">
        <f>IFERROR(IF(ROW()-ROW(Dados1433341745[[#Headers],[Total]])=1,Dados1433341745[[#This Row],[Abril]]+Dados1433341745[[#This Row],[Fevereiro]],SUM(INDEX(Dados1433341745[Fevereiro],1,1):Dados1433341745[[#This Row],[Fevereiro]],INDEX(Dados1433341745[Abril],1,1):Dados1433341745[[#This Row],[Abril]])),"")</f>
        <v>0</v>
      </c>
    </row>
    <row r="116" spans="2:16" ht="30" customHeight="1" x14ac:dyDescent="0.4">
      <c r="B116" s="6" t="s">
        <v>21</v>
      </c>
      <c r="C116" s="6"/>
      <c r="D116" s="7"/>
      <c r="E116" s="8"/>
      <c r="F116" s="7"/>
      <c r="G116" s="8"/>
      <c r="H116" s="8"/>
      <c r="I116" s="8"/>
      <c r="J116" s="8"/>
      <c r="K116" s="8"/>
      <c r="L116" s="8"/>
      <c r="M116" s="8"/>
      <c r="N116" s="8"/>
      <c r="O116" s="8"/>
      <c r="P116" s="9">
        <f>IFERROR(IF(ROW()-ROW(Dados1433341745[[#Headers],[Total]])=1,Dados1433341745[[#This Row],[Abril]]+Dados1433341745[[#This Row],[Fevereiro]],SUM(INDEX(Dados1433341745[Fevereiro],1,1):Dados1433341745[[#This Row],[Fevereiro]],INDEX(Dados1433341745[Abril],1,1):Dados1433341745[[#This Row],[Abril]])),"")</f>
        <v>0</v>
      </c>
    </row>
    <row r="117" spans="2:16" ht="30" customHeight="1" x14ac:dyDescent="0.4">
      <c r="B117" s="6" t="s">
        <v>23</v>
      </c>
      <c r="C117" s="6"/>
      <c r="D117" s="7"/>
      <c r="E117" s="8"/>
      <c r="F117" s="7"/>
      <c r="G117" s="8"/>
      <c r="H117" s="8"/>
      <c r="I117" s="8"/>
      <c r="J117" s="8"/>
      <c r="K117" s="8"/>
      <c r="L117" s="8"/>
      <c r="M117" s="8"/>
      <c r="N117" s="8"/>
      <c r="O117" s="8"/>
      <c r="P117" s="9">
        <f>IFERROR(IF(ROW()-ROW(Dados1433341745[[#Headers],[Total]])=1,Dados1433341745[[#This Row],[Abril]]+Dados1433341745[[#This Row],[Fevereiro]],SUM(INDEX(Dados1433341745[Fevereiro],1,1):Dados1433341745[[#This Row],[Fevereiro]],INDEX(Dados1433341745[Abril],1,1):Dados1433341745[[#This Row],[Abril]])),"")</f>
        <v>0</v>
      </c>
    </row>
    <row r="118" spans="2:16" ht="30" customHeight="1" x14ac:dyDescent="0.4">
      <c r="B118" s="6" t="s">
        <v>60</v>
      </c>
      <c r="C118" s="6"/>
      <c r="D118" s="7"/>
      <c r="E118" s="8"/>
      <c r="F118" s="7"/>
      <c r="G118" s="8"/>
      <c r="H118" s="8"/>
      <c r="I118" s="8"/>
      <c r="J118" s="8"/>
      <c r="K118" s="8"/>
      <c r="L118" s="8"/>
      <c r="M118" s="8"/>
      <c r="N118" s="8"/>
      <c r="O118" s="8"/>
      <c r="P118" s="9">
        <f>IFERROR(IF(ROW()-ROW(Dados1433341745[[#Headers],[Total]])=1,Dados1433341745[[#This Row],[Abril]]+Dados1433341745[[#This Row],[Fevereiro]],SUM(INDEX(Dados1433341745[Fevereiro],1,1):Dados1433341745[[#This Row],[Fevereiro]],INDEX(Dados1433341745[Abril],1,1):Dados1433341745[[#This Row],[Abril]])),"")</f>
        <v>0</v>
      </c>
    </row>
    <row r="119" spans="2:16" ht="30" customHeight="1" x14ac:dyDescent="0.4">
      <c r="B119" s="6" t="s">
        <v>17</v>
      </c>
      <c r="C119" s="6"/>
      <c r="D119" s="7"/>
      <c r="E119" s="8"/>
      <c r="F119" s="7"/>
      <c r="G119" s="8"/>
      <c r="H119" s="8"/>
      <c r="I119" s="8"/>
      <c r="J119" s="8"/>
      <c r="K119" s="8"/>
      <c r="L119" s="8"/>
      <c r="M119" s="8"/>
      <c r="N119" s="8"/>
      <c r="O119" s="8"/>
      <c r="P119" s="9">
        <f>IFERROR(IF(ROW()-ROW(Dados1433341745[[#Headers],[Total]])=1,Dados1433341745[[#This Row],[Abril]]+Dados1433341745[[#This Row],[Fevereiro]],SUM(INDEX(Dados1433341745[Fevereiro],1,1):Dados1433341745[[#This Row],[Fevereiro]],INDEX(Dados1433341745[Abril],1,1):Dados1433341745[[#This Row],[Abril]])),"")</f>
        <v>0</v>
      </c>
    </row>
    <row r="120" spans="2:16" ht="30" customHeight="1" x14ac:dyDescent="0.4">
      <c r="B120" s="6" t="s">
        <v>25</v>
      </c>
      <c r="C120" s="6"/>
      <c r="D120" s="7"/>
      <c r="E120" s="8"/>
      <c r="F120" s="7"/>
      <c r="G120" s="8"/>
      <c r="H120" s="8"/>
      <c r="I120" s="8"/>
      <c r="J120" s="8"/>
      <c r="K120" s="8"/>
      <c r="L120" s="8"/>
      <c r="M120" s="8"/>
      <c r="N120" s="8"/>
      <c r="O120" s="8"/>
      <c r="P120" s="9">
        <f>IFERROR(IF(ROW()-ROW(Dados1433341745[[#Headers],[Total]])=1,Dados1433341745[[#This Row],[Abril]]+Dados1433341745[[#This Row],[Fevereiro]],SUM(INDEX(Dados1433341745[Fevereiro],1,1):Dados1433341745[[#This Row],[Fevereiro]],INDEX(Dados1433341745[Abril],1,1):Dados1433341745[[#This Row],[Abril]])),"")</f>
        <v>0</v>
      </c>
    </row>
    <row r="121" spans="2:16" ht="30" customHeight="1" x14ac:dyDescent="0.4">
      <c r="B121" s="6" t="s">
        <v>61</v>
      </c>
      <c r="C121" s="6"/>
      <c r="D121" s="7"/>
      <c r="E121" s="8"/>
      <c r="F121" s="7"/>
      <c r="G121" s="8"/>
      <c r="H121" s="8"/>
      <c r="I121" s="8"/>
      <c r="J121" s="8"/>
      <c r="K121" s="8"/>
      <c r="L121" s="8"/>
      <c r="M121" s="8"/>
      <c r="N121" s="8"/>
      <c r="O121" s="8"/>
      <c r="P121" s="9">
        <f>IFERROR(IF(ROW()-ROW(Dados1433341745[[#Headers],[Total]])=1,Dados1433341745[[#This Row],[Abril]]+Dados1433341745[[#This Row],[Fevereiro]],SUM(INDEX(Dados1433341745[Fevereiro],1,1):Dados1433341745[[#This Row],[Fevereiro]],INDEX(Dados1433341745[Abril],1,1):Dados1433341745[[#This Row],[Abril]])),"")</f>
        <v>0</v>
      </c>
    </row>
    <row r="122" spans="2:16" ht="30" customHeight="1" x14ac:dyDescent="0.4">
      <c r="B122" s="6" t="s">
        <v>78</v>
      </c>
      <c r="C122" s="6"/>
      <c r="D122" s="7"/>
      <c r="E122" s="8"/>
      <c r="F122" s="7"/>
      <c r="G122" s="8"/>
      <c r="H122" s="8"/>
      <c r="I122" s="8"/>
      <c r="J122" s="8"/>
      <c r="K122" s="8"/>
      <c r="L122" s="8"/>
      <c r="M122" s="8"/>
      <c r="N122" s="8"/>
      <c r="O122" s="8">
        <v>465.22</v>
      </c>
      <c r="P122" s="9">
        <f>IFERROR(IF(ROW()-ROW(Dados1433341745[[#Headers],[Total]])=1,Dados1433341745[[#This Row],[Abril]]+Dados1433341745[[#This Row],[Fevereiro]],SUM(INDEX(Dados1433341745[Fevereiro],1,1):Dados1433341745[[#This Row],[Fevereiro]],INDEX(Dados1433341745[Abril],1,1):Dados1433341745[[#This Row],[Abril]])),"")</f>
        <v>0</v>
      </c>
    </row>
    <row r="123" spans="2:16" ht="30" customHeight="1" x14ac:dyDescent="0.4">
      <c r="B123" s="6" t="s">
        <v>63</v>
      </c>
      <c r="C123" s="6"/>
      <c r="D123" s="7"/>
      <c r="E123" s="8"/>
      <c r="F123" s="7"/>
      <c r="G123" s="8"/>
      <c r="H123" s="8"/>
      <c r="I123" s="8"/>
      <c r="J123" s="8"/>
      <c r="K123" s="8"/>
      <c r="L123" s="8"/>
      <c r="M123" s="8"/>
      <c r="N123" s="8"/>
      <c r="O123" s="8"/>
      <c r="P123" s="9">
        <f>IFERROR(IF(ROW()-ROW(Dados1433341745[[#Headers],[Total]])=1,Dados1433341745[[#This Row],[Abril]]+Dados1433341745[[#This Row],[Fevereiro]],SUM(INDEX(Dados1433341745[Fevereiro],1,1):Dados1433341745[[#This Row],[Fevereiro]],INDEX(Dados1433341745[Abril],1,1):Dados1433341745[[#This Row],[Abril]])),"")</f>
        <v>0</v>
      </c>
    </row>
    <row r="124" spans="2:16" ht="30" customHeight="1" x14ac:dyDescent="0.4">
      <c r="B124" s="6" t="s">
        <v>64</v>
      </c>
      <c r="C124" s="6"/>
      <c r="D124" s="7"/>
      <c r="E124" s="8"/>
      <c r="F124" s="7"/>
      <c r="G124" s="8"/>
      <c r="H124" s="8"/>
      <c r="I124" s="8"/>
      <c r="J124" s="8"/>
      <c r="K124" s="8"/>
      <c r="L124" s="8"/>
      <c r="M124" s="8"/>
      <c r="N124" s="8"/>
      <c r="O124" s="8"/>
      <c r="P124" s="9">
        <f>IFERROR(IF(ROW()-ROW(Dados1433341745[[#Headers],[Total]])=1,Dados1433341745[[#This Row],[Abril]]+Dados1433341745[[#This Row],[Fevereiro]],SUM(INDEX(Dados1433341745[Fevereiro],1,1):Dados1433341745[[#This Row],[Fevereiro]],INDEX(Dados1433341745[Abril],1,1):Dados1433341745[[#This Row],[Abril]])),"")</f>
        <v>0</v>
      </c>
    </row>
    <row r="125" spans="2:16" ht="30" customHeight="1" x14ac:dyDescent="0.4">
      <c r="B125" s="6" t="s">
        <v>65</v>
      </c>
      <c r="C125" s="6"/>
      <c r="D125" s="7"/>
      <c r="E125" s="8"/>
      <c r="F125" s="7"/>
      <c r="G125" s="8"/>
      <c r="H125" s="8"/>
      <c r="I125" s="8"/>
      <c r="J125" s="8"/>
      <c r="K125" s="8"/>
      <c r="L125" s="8"/>
      <c r="M125" s="8"/>
      <c r="N125" s="8"/>
      <c r="O125" s="8"/>
      <c r="P125" s="9">
        <f>IFERROR(IF(ROW()-ROW(Dados1433341745[[#Headers],[Total]])=1,Dados1433341745[[#This Row],[Abril]]+Dados1433341745[[#This Row],[Fevereiro]],SUM(INDEX(Dados1433341745[Fevereiro],1,1):Dados1433341745[[#This Row],[Fevereiro]],INDEX(Dados1433341745[Abril],1,1):Dados1433341745[[#This Row],[Abril]])),"")</f>
        <v>0</v>
      </c>
    </row>
    <row r="126" spans="2:16" ht="30" customHeight="1" x14ac:dyDescent="0.4">
      <c r="B126" s="6" t="s">
        <v>66</v>
      </c>
      <c r="C126" s="6"/>
      <c r="D126" s="7"/>
      <c r="E126" s="8"/>
      <c r="F126" s="7"/>
      <c r="G126" s="8"/>
      <c r="H126" s="8"/>
      <c r="I126" s="8"/>
      <c r="J126" s="8"/>
      <c r="K126" s="8"/>
      <c r="L126" s="8"/>
      <c r="M126" s="8"/>
      <c r="N126" s="8"/>
      <c r="O126" s="8"/>
      <c r="P126" s="9">
        <f>IFERROR(IF(ROW()-ROW(Dados1433341745[[#Headers],[Total]])=1,Dados1433341745[[#This Row],[Abril]]+Dados1433341745[[#This Row],[Fevereiro]],SUM(INDEX(Dados1433341745[Fevereiro],1,1):Dados1433341745[[#This Row],[Fevereiro]],INDEX(Dados1433341745[Abril],1,1):Dados1433341745[[#This Row],[Abril]])),"")</f>
        <v>0</v>
      </c>
    </row>
    <row r="127" spans="2:16" ht="30" customHeight="1" x14ac:dyDescent="0.4">
      <c r="B127" s="6" t="s">
        <v>79</v>
      </c>
      <c r="C127" s="6"/>
      <c r="D127" s="7"/>
      <c r="E127" s="8"/>
      <c r="F127" s="7"/>
      <c r="G127" s="8"/>
      <c r="H127" s="8"/>
      <c r="I127" s="8"/>
      <c r="J127" s="8"/>
      <c r="K127" s="8"/>
      <c r="L127" s="8"/>
      <c r="M127" s="8"/>
      <c r="N127" s="8"/>
      <c r="O127" s="8"/>
      <c r="P127" s="9">
        <f>IFERROR(IF(ROW()-ROW(Dados1433341745[[#Headers],[Total]])=1,Dados1433341745[[#This Row],[Abril]]+Dados1433341745[[#This Row],[Fevereiro]],SUM(INDEX(Dados1433341745[Fevereiro],1,1):Dados1433341745[[#This Row],[Fevereiro]],INDEX(Dados1433341745[Abril],1,1):Dados1433341745[[#This Row],[Abril]])),"")</f>
        <v>0</v>
      </c>
    </row>
    <row r="128" spans="2:16" ht="30" customHeight="1" x14ac:dyDescent="0.4">
      <c r="B128" s="6" t="s">
        <v>80</v>
      </c>
      <c r="C128" s="6"/>
      <c r="D128" s="7"/>
      <c r="E128" s="8"/>
      <c r="F128" s="7"/>
      <c r="G128" s="8"/>
      <c r="H128" s="8"/>
      <c r="I128" s="8"/>
      <c r="J128" s="8"/>
      <c r="K128" s="8"/>
      <c r="L128" s="8"/>
      <c r="M128" s="8"/>
      <c r="N128" s="8"/>
      <c r="O128" s="8"/>
      <c r="P128" s="9">
        <f>IFERROR(IF(ROW()-ROW(Dados1433341745[[#Headers],[Total]])=1,Dados1433341745[[#This Row],[Abril]]+Dados1433341745[[#This Row],[Fevereiro]],SUM(INDEX(Dados1433341745[Fevereiro],1,1):Dados1433341745[[#This Row],[Fevereiro]],INDEX(Dados1433341745[Abril],1,1):Dados1433341745[[#This Row],[Abril]])),"")</f>
        <v>0</v>
      </c>
    </row>
    <row r="129" spans="2:16" ht="30" customHeight="1" x14ac:dyDescent="0.4">
      <c r="B129" s="6" t="s">
        <v>81</v>
      </c>
      <c r="C129" s="6"/>
      <c r="D129" s="7"/>
      <c r="E129" s="8"/>
      <c r="F129" s="7"/>
      <c r="G129" s="8"/>
      <c r="H129" s="8"/>
      <c r="I129" s="8"/>
      <c r="J129" s="8"/>
      <c r="K129" s="8"/>
      <c r="L129" s="8"/>
      <c r="M129" s="8"/>
      <c r="N129" s="8"/>
      <c r="O129" s="8"/>
      <c r="P129" s="9">
        <f>IFERROR(IF(ROW()-ROW(Dados1433341745[[#Headers],[Total]])=1,Dados1433341745[[#This Row],[Abril]]+Dados1433341745[[#This Row],[Fevereiro]],SUM(INDEX(Dados1433341745[Fevereiro],1,1):Dados1433341745[[#This Row],[Fevereiro]],INDEX(Dados1433341745[Abril],1,1):Dados1433341745[[#This Row],[Abril]])),"")</f>
        <v>0</v>
      </c>
    </row>
    <row r="130" spans="2:16" ht="30" customHeight="1" x14ac:dyDescent="0.4">
      <c r="B130" s="6" t="s">
        <v>82</v>
      </c>
      <c r="C130" s="6"/>
      <c r="D130" s="7"/>
      <c r="E130" s="7"/>
      <c r="F130" s="7"/>
      <c r="G130" s="7"/>
      <c r="H130" s="8"/>
      <c r="I130" s="8"/>
      <c r="J130" s="8"/>
      <c r="K130" s="8"/>
      <c r="L130" s="8"/>
      <c r="M130" s="8"/>
      <c r="N130" s="8"/>
      <c r="O130" s="8"/>
      <c r="P130" s="3">
        <f>IFERROR(IF(ROW()-ROW(Dados1433341745[[#Headers],[Total]])=1,Dados1433341745[[#This Row],[Abril]]+Dados1433341745[[#This Row],[Fevereiro]],SUM(INDEX(Dados1433341745[Fevereiro],1,1):Dados1433341745[[#This Row],[Fevereiro]],INDEX(Dados1433341745[Abril],1,1):Dados1433341745[[#This Row],[Abril]])),"")</f>
        <v>0</v>
      </c>
    </row>
    <row r="131" spans="2:16" ht="30" customHeight="1" x14ac:dyDescent="0.4">
      <c r="B131" s="6" t="s">
        <v>83</v>
      </c>
      <c r="C131" s="6"/>
      <c r="D131" s="7"/>
      <c r="E131" s="10"/>
      <c r="F131" s="7"/>
      <c r="G131" s="10"/>
      <c r="H131" s="8"/>
      <c r="I131" s="8"/>
      <c r="J131" s="8"/>
      <c r="K131" s="8"/>
      <c r="L131" s="8"/>
      <c r="M131" s="8"/>
      <c r="N131" s="8"/>
      <c r="O131" s="8"/>
      <c r="P131" s="3">
        <f>IFERROR(IF(ROW()-ROW(Dados1433341745[[#Headers],[Total]])=1,Dados1433341745[[#This Row],[Abril]]+Dados1433341745[[#This Row],[Fevereiro]],SUM(INDEX(Dados1433341745[Fevereiro],1,1):Dados1433341745[[#This Row],[Fevereiro]],INDEX(Dados1433341745[Abril],1,1):Dados1433341745[[#This Row],[Abril]])),"")</f>
        <v>0</v>
      </c>
    </row>
    <row r="132" spans="2:16" ht="30" customHeight="1" x14ac:dyDescent="0.4">
      <c r="B132" s="3" t="s">
        <v>16</v>
      </c>
      <c r="C132" s="3"/>
      <c r="D132" s="22">
        <f>SUBTOTAL(109,Dados1433341745[Fevereiro])</f>
        <v>0</v>
      </c>
      <c r="E132" s="22">
        <f>SUBTOTAL(109,Dados1433341745[Fevereiro])</f>
        <v>0</v>
      </c>
      <c r="F132" s="22">
        <f>SUBTOTAL(109,Dados1433341745[Março])</f>
        <v>0</v>
      </c>
      <c r="G132" s="22">
        <f>SUBTOTAL(109,Dados1433341745[Abril])</f>
        <v>0</v>
      </c>
      <c r="H132" s="22">
        <f>SUBTOTAL(109,Dados1433341745[Maio])</f>
        <v>718.15</v>
      </c>
      <c r="I132" s="22">
        <f>SUBTOTAL(109,Dados1433341745[Junho])</f>
        <v>0</v>
      </c>
      <c r="J132" s="22">
        <f>SUBTOTAL(109,Dados1433341745[Julho])</f>
        <v>0</v>
      </c>
      <c r="K132" s="22">
        <f>SUBTOTAL(109,Dados1433341745[Agosto])</f>
        <v>0</v>
      </c>
      <c r="L132" s="22">
        <f>SUBTOTAL(109,Dados1433341745[Setembro])</f>
        <v>0</v>
      </c>
      <c r="M132" s="22">
        <f>SUBTOTAL(109,Dados1433341745[Outubro])</f>
        <v>0</v>
      </c>
      <c r="N132" s="22">
        <f>SUBTOTAL(109,Dados1433341745[Novembro])</f>
        <v>0</v>
      </c>
      <c r="O132" s="22">
        <f>SUBTOTAL(109,Dados1433341745[Dezembro])</f>
        <v>1088.5700000000002</v>
      </c>
      <c r="P132" s="10">
        <f>SUBTOTAL(109,Dados1433341745[Total])</f>
        <v>0</v>
      </c>
    </row>
  </sheetData>
  <dataValidations count="5">
    <dataValidation allowBlank="1" showInputMessage="1" showErrorMessage="1" prompt="Crie um registro do cartão de crédito nesta planilha" sqref="A1" xr:uid="{00000000-0002-0000-0300-000000000000}"/>
    <dataValidation allowBlank="1" showInputMessage="1" showErrorMessage="1" prompt="O título da planilha está nesta célula. Insira o nome do cartão de crédito para atualizar o título" sqref="B1:C1" xr:uid="{00000000-0002-0000-0300-000001000000}"/>
    <dataValidation allowBlank="1" showInputMessage="1" showErrorMessage="1" prompt="Insira a data na coluna sob este cabeçalho" sqref="B3:C3 B25:C25 B91:C91 B47:C47 B69:C69 B113:C113" xr:uid="{00000000-0002-0000-0300-000002000000}"/>
    <dataValidation allowBlank="1" showInputMessage="1" showErrorMessage="1" prompt="Insira a descrição na coluna sob este cabeçalho" sqref="D3:O3 D25:O25 D91:O91 D47:O47 D69:O69 D113:O113" xr:uid="{00000000-0002-0000-0300-000003000000}"/>
    <dataValidation allowBlank="1" showInputMessage="1" showErrorMessage="1" prompt="O valor do saldo sem juros é calculado automaticamente na coluna sob este cabeçalho" sqref="P3 P25 P91 P47 P69 P113" xr:uid="{00000000-0002-0000-0300-000004000000}"/>
  </dataValidations>
  <printOptions horizontalCentered="1"/>
  <pageMargins left="0.40000000000000008" right="0.40000000000000008" top="0.40000000000000008" bottom="0.40000000000000008" header="0.3" footer="0.3"/>
  <pageSetup paperSize="9" scale="57" fitToHeight="0" orientation="landscape"/>
  <headerFooter differentFirst="1">
    <oddFooter>&amp;CPage &amp;P of &amp;N</oddFooter>
  </headerFooter>
  <tableParts count="6">
    <tablePart r:id="rId1"/>
    <tablePart r:id="rId2"/>
    <tablePart r:id="rId3"/>
    <tablePart r:id="rId4"/>
    <tablePart r:id="rId5"/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  <pageSetUpPr fitToPage="1"/>
  </sheetPr>
  <dimension ref="B1:Q96"/>
  <sheetViews>
    <sheetView showGridLines="0" topLeftCell="A52" zoomScale="90" workbookViewId="0">
      <selection activeCell="D84" sqref="D84:G95"/>
    </sheetView>
  </sheetViews>
  <sheetFormatPr defaultColWidth="8.88671875" defaultRowHeight="30" customHeight="1" x14ac:dyDescent="0.4"/>
  <cols>
    <col min="1" max="1" width="2.6640625" customWidth="1"/>
    <col min="2" max="2" width="29.21875" customWidth="1"/>
    <col min="3" max="3" width="22" bestFit="1" customWidth="1"/>
    <col min="4" max="4" width="11.77734375" customWidth="1"/>
    <col min="5" max="15" width="12.109375" bestFit="1" customWidth="1"/>
    <col min="16" max="16" width="17.6640625" hidden="1" customWidth="1"/>
    <col min="17" max="17" width="2.6640625" customWidth="1"/>
  </cols>
  <sheetData>
    <row r="1" spans="2:16" ht="60.75" customHeight="1" x14ac:dyDescent="0.4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2:16" ht="45" customHeight="1" x14ac:dyDescent="0.4">
      <c r="B2" s="2" t="s">
        <v>1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54.95" customHeight="1" x14ac:dyDescent="0.4">
      <c r="B3" s="3" t="s">
        <v>2</v>
      </c>
      <c r="C3" s="3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5" t="s">
        <v>16</v>
      </c>
    </row>
    <row r="4" spans="2:16" ht="30" customHeight="1" x14ac:dyDescent="0.4">
      <c r="B4" s="6" t="s">
        <v>24</v>
      </c>
      <c r="C4" s="6"/>
      <c r="D4" s="7">
        <f>2121.12</f>
        <v>2121.12</v>
      </c>
      <c r="E4" s="8">
        <f>2121.12+878.88-166.26-1.06</f>
        <v>2832.68</v>
      </c>
      <c r="F4" s="8">
        <f>2121.12+878.88-172.67-2.41</f>
        <v>2824.92</v>
      </c>
      <c r="G4" s="8"/>
      <c r="H4" s="8"/>
      <c r="I4" s="8"/>
      <c r="J4" s="8"/>
      <c r="K4" s="8"/>
      <c r="L4" s="8"/>
      <c r="M4" s="8"/>
      <c r="N4" s="8"/>
      <c r="O4" s="8"/>
      <c r="P4" s="9">
        <f>IFERROR(IF(ROW()-ROW(Dados141520[[#Headers],[Total]])=1,Dados141520[[#This Row],[Abril]]+Dados141520[[#This Row],[Fevereiro]],SUM(INDEX(Dados141520[Fevereiro],1,1):Dados141520[[#This Row],[Fevereiro]],INDEX(Dados141520[Abril],1,1):Dados141520[[#This Row],[Abril]])), "")</f>
        <v>2832.68</v>
      </c>
    </row>
    <row r="5" spans="2:16" ht="30" customHeight="1" x14ac:dyDescent="0.4">
      <c r="B5" s="6" t="s">
        <v>47</v>
      </c>
      <c r="C5" s="6"/>
      <c r="D5" s="7">
        <f>1854+200-9.44</f>
        <v>2044.56</v>
      </c>
      <c r="E5" s="7">
        <f>1854+646</f>
        <v>2500</v>
      </c>
      <c r="F5" s="7">
        <f>1854+646-1.94</f>
        <v>2498.06</v>
      </c>
      <c r="G5" s="7"/>
      <c r="H5" s="7"/>
      <c r="I5" s="7"/>
      <c r="J5" s="7"/>
      <c r="K5" s="7"/>
      <c r="L5" s="7"/>
      <c r="M5" s="7"/>
      <c r="N5" s="7"/>
      <c r="O5" s="7"/>
      <c r="P5" s="9">
        <f>IFERROR(IF(ROW()-ROW(Dados141520[[#Headers],[Total]])=1,Dados141520[[#This Row],[Abril]]+Dados141520[[#This Row],[Fevereiro]],SUM(INDEX(Dados141520[Fevereiro],1,1):Dados141520[[#This Row],[Fevereiro]],INDEX(Dados141520[Abril],1,1):Dados141520[[#This Row],[Abril]])),"")</f>
        <v>5332.68</v>
      </c>
    </row>
    <row r="6" spans="2:16" ht="30" customHeight="1" x14ac:dyDescent="0.4">
      <c r="B6" s="6" t="s">
        <v>21</v>
      </c>
      <c r="C6" s="6"/>
      <c r="D6" s="7">
        <f>1854+350</f>
        <v>2204</v>
      </c>
      <c r="E6" s="7">
        <f>2500-227.03-38.95-2.5</f>
        <v>2231.52</v>
      </c>
      <c r="F6" s="7">
        <v>2500</v>
      </c>
      <c r="G6" s="8"/>
      <c r="H6" s="8"/>
      <c r="I6" s="8"/>
      <c r="J6" s="8"/>
      <c r="K6" s="8"/>
      <c r="L6" s="8"/>
      <c r="M6" s="8"/>
      <c r="N6" s="8"/>
      <c r="O6" s="8"/>
      <c r="P6" s="9">
        <f>IFERROR(IF(ROW()-ROW(Dados141520[[#Headers],[Total]])=1,Dados141520[[#This Row],[Abril]]+Dados141520[[#This Row],[Fevereiro]],SUM(INDEX(Dados141520[Fevereiro],1,1):Dados141520[[#This Row],[Fevereiro]],INDEX(Dados141520[Abril],1,1):Dados141520[[#This Row],[Abril]])),"")</f>
        <v>7564.2000000000007</v>
      </c>
    </row>
    <row r="7" spans="2:16" ht="30" customHeight="1" x14ac:dyDescent="0.4">
      <c r="B7" s="6" t="s">
        <v>23</v>
      </c>
      <c r="C7" s="6"/>
      <c r="D7" s="7">
        <v>1604</v>
      </c>
      <c r="E7" s="8">
        <f>1604+166-1.53</f>
        <v>1768.47</v>
      </c>
      <c r="F7" s="8">
        <f>1604+166-37.84</f>
        <v>1732.16</v>
      </c>
      <c r="G7" s="8"/>
      <c r="H7" s="8"/>
      <c r="I7" s="8"/>
      <c r="J7" s="8"/>
      <c r="K7" s="8"/>
      <c r="L7" s="8"/>
      <c r="M7" s="8"/>
      <c r="N7" s="8"/>
      <c r="O7" s="8"/>
      <c r="P7" s="9">
        <f>IFERROR(IF(ROW()-ROW(Dados141520[[#Headers],[Total]])=1,Dados141520[[#This Row],[Abril]]+Dados141520[[#This Row],[Fevereiro]],SUM(INDEX(Dados141520[Fevereiro],1,1):Dados141520[[#This Row],[Fevereiro]],INDEX(Dados141520[Abril],1,1):Dados141520[[#This Row],[Abril]])),"")</f>
        <v>9332.67</v>
      </c>
    </row>
    <row r="8" spans="2:16" ht="30" customHeight="1" x14ac:dyDescent="0.4">
      <c r="B8" s="6" t="s">
        <v>60</v>
      </c>
      <c r="C8" s="6"/>
      <c r="D8" s="7">
        <f>1395.65-26.71</f>
        <v>1368.94</v>
      </c>
      <c r="E8" s="8">
        <f>1395.65-64.71</f>
        <v>1330.94</v>
      </c>
      <c r="F8" s="7">
        <f>1395.65-2.85</f>
        <v>1392.8000000000002</v>
      </c>
      <c r="G8" s="8"/>
      <c r="H8" s="8"/>
      <c r="I8" s="8"/>
      <c r="J8" s="8"/>
      <c r="K8" s="8"/>
      <c r="L8" s="8"/>
      <c r="M8" s="8"/>
      <c r="N8" s="8"/>
      <c r="O8" s="8"/>
      <c r="P8" s="9">
        <f>IFERROR(IF(ROW()-ROW(Dados141520[[#Headers],[Total]])=1,Dados141520[[#This Row],[Abril]]+Dados141520[[#This Row],[Fevereiro]],SUM(INDEX(Dados141520[Fevereiro],1,1):Dados141520[[#This Row],[Fevereiro]],INDEX(Dados141520[Abril],1,1):Dados141520[[#This Row],[Abril]])),"")</f>
        <v>10663.61</v>
      </c>
    </row>
    <row r="9" spans="2:16" ht="30" customHeight="1" x14ac:dyDescent="0.4">
      <c r="B9" s="6" t="s">
        <v>17</v>
      </c>
      <c r="C9" s="6"/>
      <c r="D9" s="7">
        <f>1503.75+260-2.05</f>
        <v>1761.7</v>
      </c>
      <c r="E9" s="7">
        <f>1503.75+260-6.9</f>
        <v>1756.85</v>
      </c>
      <c r="F9" s="7">
        <f>1503.75+260-7.11</f>
        <v>1756.64</v>
      </c>
      <c r="G9" s="8"/>
      <c r="H9" s="8"/>
      <c r="I9" s="8"/>
      <c r="J9" s="8"/>
      <c r="K9" s="8"/>
      <c r="L9" s="8"/>
      <c r="M9" s="8"/>
      <c r="N9" s="8"/>
      <c r="O9" s="8"/>
      <c r="P9" s="9">
        <f>IFERROR(IF(ROW()-ROW(Dados141520[[#Headers],[Total]])=1,Dados141520[[#This Row],[Abril]]+Dados141520[[#This Row],[Fevereiro]],SUM(INDEX(Dados141520[Fevereiro],1,1):Dados141520[[#This Row],[Fevereiro]],INDEX(Dados141520[Abril],1,1):Dados141520[[#This Row],[Abril]])),"")</f>
        <v>12420.460000000001</v>
      </c>
    </row>
    <row r="10" spans="2:16" ht="30" customHeight="1" x14ac:dyDescent="0.4">
      <c r="B10" s="6" t="s">
        <v>25</v>
      </c>
      <c r="C10" s="6"/>
      <c r="D10" s="7">
        <f>1400-46.65-105.3</f>
        <v>1248.05</v>
      </c>
      <c r="E10" s="8">
        <f>1400-46.65-103.62</f>
        <v>1249.73</v>
      </c>
      <c r="F10" s="7">
        <f>1400-133.25-95.82</f>
        <v>1170.93</v>
      </c>
      <c r="G10" s="8"/>
      <c r="H10" s="8"/>
      <c r="I10" s="8"/>
      <c r="J10" s="8"/>
      <c r="K10" s="8"/>
      <c r="L10" s="8"/>
      <c r="M10" s="8"/>
      <c r="N10" s="8"/>
      <c r="O10" s="8"/>
      <c r="P10" s="9">
        <f>IFERROR(IF(ROW()-ROW(Dados141520[[#Headers],[Total]])=1,Dados141520[[#This Row],[Abril]]+Dados141520[[#This Row],[Fevereiro]],SUM(INDEX(Dados141520[Fevereiro],1,1):Dados141520[[#This Row],[Fevereiro]],INDEX(Dados141520[Abril],1,1):Dados141520[[#This Row],[Abril]])),"")</f>
        <v>13670.19</v>
      </c>
    </row>
    <row r="11" spans="2:16" ht="30" customHeight="1" x14ac:dyDescent="0.4">
      <c r="B11" s="6" t="s">
        <v>61</v>
      </c>
      <c r="C11" s="6"/>
      <c r="D11" s="7">
        <v>1395.65</v>
      </c>
      <c r="E11" s="8">
        <f>1395.65-3.17</f>
        <v>1392.48</v>
      </c>
      <c r="F11" s="7">
        <f>1395.65-5.7</f>
        <v>1389.95</v>
      </c>
      <c r="G11" s="8"/>
      <c r="H11" s="8"/>
      <c r="I11" s="8"/>
      <c r="J11" s="8"/>
      <c r="K11" s="8"/>
      <c r="L11" s="8"/>
      <c r="M11" s="8"/>
      <c r="N11" s="8"/>
      <c r="O11" s="8"/>
      <c r="P11" s="9">
        <f>IFERROR(IF(ROW()-ROW(Dados141520[[#Headers],[Total]])=1,Dados141520[[#This Row],[Abril]]+Dados141520[[#This Row],[Fevereiro]],SUM(INDEX(Dados141520[Fevereiro],1,1):Dados141520[[#This Row],[Fevereiro]],INDEX(Dados141520[Abril],1,1):Dados141520[[#This Row],[Abril]])),"")</f>
        <v>15062.67</v>
      </c>
    </row>
    <row r="12" spans="2:16" ht="30" customHeight="1" x14ac:dyDescent="0.4">
      <c r="B12" s="6" t="s">
        <v>78</v>
      </c>
      <c r="C12" s="6"/>
      <c r="D12" s="7">
        <f>1395.65-15.86</f>
        <v>1379.7900000000002</v>
      </c>
      <c r="E12" s="8">
        <f>1395.65-95.15</f>
        <v>1300.5</v>
      </c>
      <c r="F12" s="7">
        <f>1395.65-3.6</f>
        <v>1392.0500000000002</v>
      </c>
      <c r="G12" s="8"/>
      <c r="H12" s="8"/>
      <c r="I12" s="8"/>
      <c r="J12" s="8"/>
      <c r="K12" s="8"/>
      <c r="L12" s="8"/>
      <c r="M12" s="8"/>
      <c r="N12" s="8"/>
      <c r="O12" s="8"/>
      <c r="P12" s="9">
        <f>IFERROR(IF(ROW()-ROW(Dados141520[[#Headers],[Total]])=1,Dados141520[[#This Row],[Abril]]+Dados141520[[#This Row],[Fevereiro]],SUM(INDEX(Dados141520[Fevereiro],1,1):Dados141520[[#This Row],[Fevereiro]],INDEX(Dados141520[Abril],1,1):Dados141520[[#This Row],[Abril]])),"")</f>
        <v>16363.17</v>
      </c>
    </row>
    <row r="13" spans="2:16" ht="30" customHeight="1" x14ac:dyDescent="0.4">
      <c r="B13" s="6" t="s">
        <v>63</v>
      </c>
      <c r="C13" s="6"/>
      <c r="D13" s="7">
        <f>1122.7-85.4-33.68</f>
        <v>1003.62</v>
      </c>
      <c r="E13" s="8">
        <f>1122.7-37.41-81.56-33.68</f>
        <v>970.05000000000007</v>
      </c>
      <c r="F13" s="7"/>
      <c r="G13" s="8"/>
      <c r="H13" s="8"/>
      <c r="I13" s="8"/>
      <c r="J13" s="8"/>
      <c r="K13" s="8"/>
      <c r="L13" s="8"/>
      <c r="M13" s="8"/>
      <c r="N13" s="8"/>
      <c r="O13" s="8"/>
      <c r="P13" s="9">
        <f>IFERROR(IF(ROW()-ROW(Dados141520[[#Headers],[Total]])=1,Dados141520[[#This Row],[Abril]]+Dados141520[[#This Row],[Fevereiro]],SUM(INDEX(Dados141520[Fevereiro],1,1):Dados141520[[#This Row],[Fevereiro]],INDEX(Dados141520[Abril],1,1):Dados141520[[#This Row],[Abril]])),"")</f>
        <v>17333.22</v>
      </c>
    </row>
    <row r="14" spans="2:16" ht="30" customHeight="1" x14ac:dyDescent="0.4">
      <c r="B14" s="6" t="s">
        <v>79</v>
      </c>
      <c r="C14" s="6"/>
      <c r="D14" s="7">
        <v>1800</v>
      </c>
      <c r="E14" s="8"/>
      <c r="F14" s="7"/>
      <c r="G14" s="8"/>
      <c r="H14" s="8"/>
      <c r="I14" s="8"/>
      <c r="J14" s="8"/>
      <c r="K14" s="8"/>
      <c r="L14" s="8"/>
      <c r="M14" s="8"/>
      <c r="N14" s="8"/>
      <c r="O14" s="8"/>
      <c r="P14" s="9">
        <f>IFERROR(IF(ROW()-ROW(Dados141520[[#Headers],[Total]])=1,Dados141520[[#This Row],[Abril]]+Dados141520[[#This Row],[Fevereiro]],SUM(INDEX(Dados141520[Fevereiro],1,1):Dados141520[[#This Row],[Fevereiro]],INDEX(Dados141520[Abril],1,1):Dados141520[[#This Row],[Abril]])),"")</f>
        <v>17333.22</v>
      </c>
    </row>
    <row r="15" spans="2:16" ht="30" customHeight="1" x14ac:dyDescent="0.4">
      <c r="B15" s="6" t="s">
        <v>80</v>
      </c>
      <c r="C15" s="6"/>
      <c r="D15" s="7">
        <v>269.16000000000003</v>
      </c>
      <c r="E15" s="8">
        <v>54.06</v>
      </c>
      <c r="F15" s="7"/>
      <c r="G15" s="8"/>
      <c r="H15" s="8"/>
      <c r="I15" s="8"/>
      <c r="J15" s="8"/>
      <c r="K15" s="8"/>
      <c r="L15" s="8"/>
      <c r="M15" s="8"/>
      <c r="N15" s="8"/>
      <c r="O15" s="8"/>
      <c r="P15" s="9">
        <f>IFERROR(IF(ROW()-ROW(Dados141520[[#Headers],[Total]])=1,Dados141520[[#This Row],[Abril]]+Dados141520[[#This Row],[Fevereiro]],SUM(INDEX(Dados141520[Fevereiro],1,1):Dados141520[[#This Row],[Fevereiro]],INDEX(Dados141520[Abril],1,1):Dados141520[[#This Row],[Abril]])),"")</f>
        <v>17387.280000000002</v>
      </c>
    </row>
    <row r="16" spans="2:16" ht="30" customHeight="1" x14ac:dyDescent="0.4">
      <c r="B16" s="19" t="s">
        <v>16</v>
      </c>
      <c r="C16" s="19"/>
      <c r="D16" s="17">
        <f>SUBTOTAL(109,Dados141520[Janeiro])</f>
        <v>18200.59</v>
      </c>
      <c r="E16" s="17">
        <f>SUBTOTAL(109,Dados141520[Fevereiro])</f>
        <v>17387.280000000002</v>
      </c>
      <c r="F16" s="17">
        <f>SUBTOTAL(109,Dados141520[Março])</f>
        <v>16657.509999999998</v>
      </c>
      <c r="G16" s="10"/>
      <c r="H16" s="10"/>
      <c r="I16" s="10"/>
      <c r="J16" s="10"/>
      <c r="K16" s="10"/>
      <c r="L16" s="10"/>
      <c r="M16" s="10"/>
      <c r="N16" s="10"/>
      <c r="O16" s="10"/>
      <c r="P16" s="3"/>
    </row>
    <row r="17" spans="2:16" ht="30" customHeight="1" x14ac:dyDescent="0.4">
      <c r="B17" s="3"/>
      <c r="C17" s="3"/>
      <c r="D17" s="3"/>
      <c r="E17" s="10"/>
      <c r="F17" s="3"/>
      <c r="G17" s="10"/>
      <c r="H17" s="10"/>
      <c r="I17" s="10"/>
      <c r="J17" s="10"/>
      <c r="K17" s="10"/>
      <c r="L17" s="10"/>
      <c r="M17" s="10"/>
      <c r="N17" s="10"/>
      <c r="O17" s="10"/>
      <c r="P17" s="3"/>
    </row>
    <row r="18" spans="2:16" ht="30" customHeight="1" x14ac:dyDescent="0.4">
      <c r="B18" s="2" t="s">
        <v>89</v>
      </c>
      <c r="C18" s="2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2:16" ht="30" customHeight="1" x14ac:dyDescent="0.4">
      <c r="B19" s="3" t="s">
        <v>2</v>
      </c>
      <c r="C19" s="3" t="s">
        <v>3</v>
      </c>
      <c r="D19" s="4" t="s">
        <v>4</v>
      </c>
      <c r="E19" s="4" t="s">
        <v>5</v>
      </c>
      <c r="F19" s="4" t="s">
        <v>6</v>
      </c>
      <c r="G19" s="4" t="s">
        <v>7</v>
      </c>
      <c r="H19" s="4" t="s">
        <v>8</v>
      </c>
      <c r="I19" s="4" t="s">
        <v>9</v>
      </c>
      <c r="J19" s="4" t="s">
        <v>10</v>
      </c>
      <c r="K19" s="4" t="s">
        <v>11</v>
      </c>
      <c r="L19" s="4" t="s">
        <v>12</v>
      </c>
      <c r="M19" s="4" t="s">
        <v>13</v>
      </c>
      <c r="N19" s="4" t="s">
        <v>14</v>
      </c>
      <c r="O19" s="4" t="s">
        <v>15</v>
      </c>
      <c r="P19" s="5" t="s">
        <v>16</v>
      </c>
    </row>
    <row r="20" spans="2:16" ht="30" customHeight="1" x14ac:dyDescent="0.4">
      <c r="B20" s="6" t="s">
        <v>24</v>
      </c>
      <c r="C20" s="6"/>
      <c r="D20" s="7">
        <v>130</v>
      </c>
      <c r="E20" s="8">
        <v>200</v>
      </c>
      <c r="F20" s="7">
        <v>200</v>
      </c>
      <c r="G20" s="8"/>
      <c r="H20" s="8"/>
      <c r="I20" s="8"/>
      <c r="J20" s="8"/>
      <c r="K20" s="8"/>
      <c r="L20" s="8"/>
      <c r="M20" s="8"/>
      <c r="N20" s="8"/>
      <c r="O20" s="8"/>
      <c r="P20" s="9">
        <f>IFERROR(IF(ROW()-ROW(Dados14331621[[#Headers],[Total]])=1,Dados14331621[[#This Row],[Abril]]+Dados14331621[[#This Row],[Fevereiro]],SUM(INDEX(Dados14331621[Fevereiro],1,1):Dados14331621[[#This Row],[Fevereiro]],INDEX(Dados14331621[Abril],1,1):Dados14331621[[#This Row],[Abril]])), "")</f>
        <v>200</v>
      </c>
    </row>
    <row r="21" spans="2:16" ht="30" customHeight="1" x14ac:dyDescent="0.4">
      <c r="B21" s="6" t="s">
        <v>47</v>
      </c>
      <c r="C21" s="6"/>
      <c r="D21" s="7">
        <v>0</v>
      </c>
      <c r="E21" s="8">
        <v>100</v>
      </c>
      <c r="F21" s="7">
        <v>100</v>
      </c>
      <c r="G21" s="8"/>
      <c r="H21" s="8"/>
      <c r="I21" s="8"/>
      <c r="J21" s="8"/>
      <c r="K21" s="8"/>
      <c r="L21" s="8"/>
      <c r="M21" s="8"/>
      <c r="N21" s="8"/>
      <c r="O21" s="8"/>
      <c r="P21" s="9">
        <f>IFERROR(IF(ROW()-ROW(Dados14331621[[#Headers],[Total]])=1,Dados14331621[[#This Row],[Abril]]+Dados14331621[[#This Row],[Fevereiro]],SUM(INDEX(Dados14331621[Fevereiro],1,1):Dados14331621[[#This Row],[Fevereiro]],INDEX(Dados14331621[Abril],1,1):Dados14331621[[#This Row],[Abril]])),"")</f>
        <v>300</v>
      </c>
    </row>
    <row r="22" spans="2:16" ht="30" customHeight="1" x14ac:dyDescent="0.4">
      <c r="B22" s="6" t="s">
        <v>21</v>
      </c>
      <c r="C22" s="6"/>
      <c r="D22" s="7"/>
      <c r="E22" s="8"/>
      <c r="F22" s="7"/>
      <c r="G22" s="8"/>
      <c r="H22" s="8"/>
      <c r="I22" s="8"/>
      <c r="J22" s="8"/>
      <c r="K22" s="8"/>
      <c r="L22" s="8"/>
      <c r="M22" s="8"/>
      <c r="N22" s="8"/>
      <c r="O22" s="8"/>
      <c r="P22" s="9">
        <f>IFERROR(IF(ROW()-ROW(Dados14331621[[#Headers],[Total]])=1,Dados14331621[[#This Row],[Abril]]+Dados14331621[[#This Row],[Fevereiro]],SUM(INDEX(Dados14331621[Fevereiro],1,1):Dados14331621[[#This Row],[Fevereiro]],INDEX(Dados14331621[Abril],1,1):Dados14331621[[#This Row],[Abril]])),"")</f>
        <v>300</v>
      </c>
    </row>
    <row r="23" spans="2:16" ht="30" customHeight="1" x14ac:dyDescent="0.4">
      <c r="B23" s="6" t="s">
        <v>23</v>
      </c>
      <c r="C23" s="6"/>
      <c r="D23" s="7">
        <v>100</v>
      </c>
      <c r="E23" s="8">
        <v>100</v>
      </c>
      <c r="F23" s="7">
        <v>100</v>
      </c>
      <c r="G23" s="8"/>
      <c r="H23" s="8"/>
      <c r="I23" s="8"/>
      <c r="J23" s="8"/>
      <c r="K23" s="8"/>
      <c r="L23" s="8"/>
      <c r="M23" s="8"/>
      <c r="N23" s="8"/>
      <c r="O23" s="8"/>
      <c r="P23" s="9">
        <f>IFERROR(IF(ROW()-ROW(Dados14331621[[#Headers],[Total]])=1,Dados14331621[[#This Row],[Abril]]+Dados14331621[[#This Row],[Fevereiro]],SUM(INDEX(Dados14331621[Fevereiro],1,1):Dados14331621[[#This Row],[Fevereiro]],INDEX(Dados14331621[Abril],1,1):Dados14331621[[#This Row],[Abril]])),"")</f>
        <v>400</v>
      </c>
    </row>
    <row r="24" spans="2:16" ht="30" customHeight="1" x14ac:dyDescent="0.4">
      <c r="B24" s="6" t="s">
        <v>60</v>
      </c>
      <c r="C24" s="6"/>
      <c r="D24" s="7"/>
      <c r="E24" s="8"/>
      <c r="F24" s="7"/>
      <c r="G24" s="8"/>
      <c r="H24" s="8"/>
      <c r="I24" s="8"/>
      <c r="J24" s="8"/>
      <c r="K24" s="8"/>
      <c r="L24" s="8"/>
      <c r="M24" s="8"/>
      <c r="N24" s="8"/>
      <c r="O24" s="8"/>
      <c r="P24" s="9">
        <f>IFERROR(IF(ROW()-ROW(Dados14331621[[#Headers],[Total]])=1,Dados14331621[[#This Row],[Abril]]+Dados14331621[[#This Row],[Fevereiro]],SUM(INDEX(Dados14331621[Fevereiro],1,1):Dados14331621[[#This Row],[Fevereiro]],INDEX(Dados14331621[Abril],1,1):Dados14331621[[#This Row],[Abril]])),"")</f>
        <v>400</v>
      </c>
    </row>
    <row r="25" spans="2:16" ht="30" customHeight="1" x14ac:dyDescent="0.4">
      <c r="B25" s="6" t="s">
        <v>17</v>
      </c>
      <c r="C25" s="6"/>
      <c r="D25" s="7"/>
      <c r="E25" s="8"/>
      <c r="F25" s="7"/>
      <c r="G25" s="8"/>
      <c r="H25" s="8"/>
      <c r="I25" s="8"/>
      <c r="J25" s="8"/>
      <c r="K25" s="8"/>
      <c r="L25" s="8"/>
      <c r="M25" s="8"/>
      <c r="N25" s="8"/>
      <c r="O25" s="8"/>
      <c r="P25" s="9">
        <f>IFERROR(IF(ROW()-ROW(Dados14331621[[#Headers],[Total]])=1,Dados14331621[[#This Row],[Abril]]+Dados14331621[[#This Row],[Fevereiro]],SUM(INDEX(Dados14331621[Fevereiro],1,1):Dados14331621[[#This Row],[Fevereiro]],INDEX(Dados14331621[Abril],1,1):Dados14331621[[#This Row],[Abril]])),"")</f>
        <v>400</v>
      </c>
    </row>
    <row r="26" spans="2:16" ht="30" customHeight="1" x14ac:dyDescent="0.4">
      <c r="B26" s="6" t="s">
        <v>25</v>
      </c>
      <c r="C26" s="6"/>
      <c r="D26" s="7"/>
      <c r="E26" s="8"/>
      <c r="F26" s="7"/>
      <c r="G26" s="8"/>
      <c r="H26" s="8"/>
      <c r="I26" s="8"/>
      <c r="J26" s="8"/>
      <c r="K26" s="8"/>
      <c r="L26" s="8"/>
      <c r="M26" s="8"/>
      <c r="N26" s="8"/>
      <c r="O26" s="8"/>
      <c r="P26" s="9">
        <f>IFERROR(IF(ROW()-ROW(Dados14331621[[#Headers],[Total]])=1,Dados14331621[[#This Row],[Abril]]+Dados14331621[[#This Row],[Fevereiro]],SUM(INDEX(Dados14331621[Fevereiro],1,1):Dados14331621[[#This Row],[Fevereiro]],INDEX(Dados14331621[Abril],1,1):Dados14331621[[#This Row],[Abril]])),"")</f>
        <v>400</v>
      </c>
    </row>
    <row r="27" spans="2:16" ht="30" customHeight="1" x14ac:dyDescent="0.4">
      <c r="B27" s="6" t="s">
        <v>61</v>
      </c>
      <c r="C27" s="6"/>
      <c r="D27" s="7"/>
      <c r="E27" s="8"/>
      <c r="F27" s="7"/>
      <c r="G27" s="8"/>
      <c r="H27" s="8"/>
      <c r="I27" s="8"/>
      <c r="J27" s="8"/>
      <c r="K27" s="8"/>
      <c r="L27" s="8"/>
      <c r="M27" s="8"/>
      <c r="N27" s="8"/>
      <c r="O27" s="8"/>
      <c r="P27" s="9">
        <f>IFERROR(IF(ROW()-ROW(Dados14331621[[#Headers],[Total]])=1,Dados14331621[[#This Row],[Abril]]+Dados14331621[[#This Row],[Fevereiro]],SUM(INDEX(Dados14331621[Fevereiro],1,1):Dados14331621[[#This Row],[Fevereiro]],INDEX(Dados14331621[Abril],1,1):Dados14331621[[#This Row],[Abril]])),"")</f>
        <v>400</v>
      </c>
    </row>
    <row r="28" spans="2:16" ht="30" customHeight="1" x14ac:dyDescent="0.4">
      <c r="B28" s="6" t="s">
        <v>78</v>
      </c>
      <c r="C28" s="6"/>
      <c r="D28" s="7"/>
      <c r="E28" s="8"/>
      <c r="F28" s="7"/>
      <c r="G28" s="8"/>
      <c r="H28" s="8"/>
      <c r="I28" s="8"/>
      <c r="J28" s="8"/>
      <c r="K28" s="8"/>
      <c r="L28" s="8"/>
      <c r="M28" s="8"/>
      <c r="N28" s="8"/>
      <c r="O28" s="8"/>
      <c r="P28" s="9">
        <f>IFERROR(IF(ROW()-ROW(Dados14331621[[#Headers],[Total]])=1,Dados14331621[[#This Row],[Abril]]+Dados14331621[[#This Row],[Fevereiro]],SUM(INDEX(Dados14331621[Fevereiro],1,1):Dados14331621[[#This Row],[Fevereiro]],INDEX(Dados14331621[Abril],1,1):Dados14331621[[#This Row],[Abril]])),"")</f>
        <v>400</v>
      </c>
    </row>
    <row r="29" spans="2:16" ht="30" customHeight="1" x14ac:dyDescent="0.4">
      <c r="B29" s="6" t="s">
        <v>63</v>
      </c>
      <c r="C29" s="6"/>
      <c r="D29" s="7">
        <v>89</v>
      </c>
      <c r="E29" s="8">
        <v>89</v>
      </c>
      <c r="F29" s="7"/>
      <c r="G29" s="8"/>
      <c r="H29" s="8"/>
      <c r="I29" s="8"/>
      <c r="J29" s="8"/>
      <c r="K29" s="8"/>
      <c r="L29" s="8"/>
      <c r="M29" s="8"/>
      <c r="N29" s="8"/>
      <c r="O29" s="8"/>
      <c r="P29" s="9">
        <f>IFERROR(IF(ROW()-ROW(Dados14331621[[#Headers],[Total]])=1,Dados14331621[[#This Row],[Abril]]+Dados14331621[[#This Row],[Fevereiro]],SUM(INDEX(Dados14331621[Fevereiro],1,1):Dados14331621[[#This Row],[Fevereiro]],INDEX(Dados14331621[Abril],1,1):Dados14331621[[#This Row],[Abril]])),"")</f>
        <v>489</v>
      </c>
    </row>
    <row r="30" spans="2:16" ht="30" customHeight="1" x14ac:dyDescent="0.4">
      <c r="B30" s="6" t="s">
        <v>79</v>
      </c>
      <c r="C30" s="6"/>
      <c r="D30" s="7"/>
      <c r="E30" s="8"/>
      <c r="F30" s="7"/>
      <c r="G30" s="8"/>
      <c r="H30" s="8"/>
      <c r="I30" s="8"/>
      <c r="J30" s="8"/>
      <c r="K30" s="8"/>
      <c r="L30" s="8"/>
      <c r="M30" s="8"/>
      <c r="N30" s="8"/>
      <c r="O30" s="8"/>
      <c r="P30" s="9">
        <f>IFERROR(IF(ROW()-ROW(Dados14331621[[#Headers],[Total]])=1,Dados14331621[[#This Row],[Abril]]+Dados14331621[[#This Row],[Fevereiro]],SUM(INDEX(Dados14331621[Fevereiro],1,1):Dados14331621[[#This Row],[Fevereiro]],INDEX(Dados14331621[Abril],1,1):Dados14331621[[#This Row],[Abril]])),"")</f>
        <v>489</v>
      </c>
    </row>
    <row r="31" spans="2:16" ht="30" customHeight="1" x14ac:dyDescent="0.4">
      <c r="B31" s="6" t="s">
        <v>80</v>
      </c>
      <c r="C31" s="6"/>
      <c r="D31" s="7"/>
      <c r="E31" s="8"/>
      <c r="F31" s="7"/>
      <c r="G31" s="8"/>
      <c r="H31" s="8"/>
      <c r="I31" s="8"/>
      <c r="J31" s="8"/>
      <c r="K31" s="8"/>
      <c r="L31" s="8"/>
      <c r="M31" s="8"/>
      <c r="N31" s="8"/>
      <c r="O31" s="8"/>
      <c r="P31" s="9">
        <f>IFERROR(IF(ROW()-ROW(Dados14331621[[#Headers],[Total]])=1,Dados14331621[[#This Row],[Abril]]+Dados14331621[[#This Row],[Fevereiro]],SUM(INDEX(Dados14331621[Fevereiro],1,1):Dados14331621[[#This Row],[Fevereiro]],INDEX(Dados14331621[Abril],1,1):Dados14331621[[#This Row],[Abril]])),"")</f>
        <v>489</v>
      </c>
    </row>
    <row r="32" spans="2:16" ht="30" customHeight="1" x14ac:dyDescent="0.4">
      <c r="B32" s="19" t="s">
        <v>16</v>
      </c>
      <c r="C32" s="19"/>
      <c r="D32" s="17">
        <f>SUBTOTAL(109,Dados14331621[Janeiro])</f>
        <v>319</v>
      </c>
      <c r="E32" s="17">
        <f>SUBTOTAL(109,Dados14331621[Fevereiro])</f>
        <v>489</v>
      </c>
      <c r="F32" s="17">
        <f>SUBTOTAL(109,Dados14331621[Março])</f>
        <v>400</v>
      </c>
      <c r="G32" s="22"/>
      <c r="H32" s="22"/>
      <c r="I32" s="22"/>
      <c r="J32" s="22"/>
      <c r="K32" s="22"/>
      <c r="L32" s="22"/>
      <c r="M32" s="22"/>
      <c r="N32" s="22"/>
      <c r="O32" s="22"/>
      <c r="P32" s="3"/>
    </row>
    <row r="33" spans="2:16" ht="30" customHeight="1" x14ac:dyDescent="0.4">
      <c r="B33" s="3"/>
      <c r="C33" s="3"/>
      <c r="D33" s="3"/>
      <c r="E33" s="10"/>
      <c r="F33" s="3"/>
      <c r="G33" s="10"/>
      <c r="H33" s="10"/>
      <c r="I33" s="10"/>
      <c r="J33" s="10"/>
      <c r="K33" s="10"/>
      <c r="L33" s="10"/>
      <c r="M33" s="10"/>
      <c r="N33" s="10"/>
      <c r="O33" s="10"/>
      <c r="P33" s="3"/>
    </row>
    <row r="34" spans="2:16" ht="30" customHeight="1" x14ac:dyDescent="0.4">
      <c r="B34" s="2" t="s">
        <v>90</v>
      </c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2:16" ht="30" customHeight="1" x14ac:dyDescent="0.4">
      <c r="B35" s="3" t="s">
        <v>2</v>
      </c>
      <c r="C35" s="3" t="s">
        <v>3</v>
      </c>
      <c r="D35" s="4" t="s">
        <v>4</v>
      </c>
      <c r="E35" s="4" t="s">
        <v>5</v>
      </c>
      <c r="F35" s="4" t="s">
        <v>6</v>
      </c>
      <c r="G35" s="4" t="s">
        <v>7</v>
      </c>
      <c r="H35" s="4" t="s">
        <v>8</v>
      </c>
      <c r="I35" s="4" t="s">
        <v>9</v>
      </c>
      <c r="J35" s="4" t="s">
        <v>10</v>
      </c>
      <c r="K35" s="4" t="s">
        <v>11</v>
      </c>
      <c r="L35" s="4" t="s">
        <v>12</v>
      </c>
      <c r="M35" s="4" t="s">
        <v>13</v>
      </c>
      <c r="N35" s="4" t="s">
        <v>14</v>
      </c>
      <c r="O35" s="4" t="s">
        <v>15</v>
      </c>
      <c r="P35" s="5" t="s">
        <v>16</v>
      </c>
    </row>
    <row r="36" spans="2:16" ht="30" customHeight="1" x14ac:dyDescent="0.4">
      <c r="B36" s="6" t="s">
        <v>24</v>
      </c>
      <c r="C36" s="6"/>
      <c r="D36" s="7"/>
      <c r="E36" s="8"/>
      <c r="F36" s="7"/>
      <c r="G36" s="8"/>
      <c r="H36" s="8"/>
      <c r="I36" s="8"/>
      <c r="J36" s="8"/>
      <c r="K36" s="8"/>
      <c r="L36" s="8"/>
      <c r="M36" s="8"/>
      <c r="N36" s="8"/>
      <c r="O36" s="8"/>
      <c r="P36" s="9">
        <f>IFERROR(IF(ROW()-ROW(Dados1433351823[[#Headers],[Total]])=1,Dados1433351823[[#This Row],[Abril]]+Dados1433351823[[#This Row],[Fevereiro]],SUM(INDEX(Dados1433351823[Fevereiro],1,1):Dados1433351823[[#This Row],[Fevereiro]],INDEX(Dados1433351823[Abril],1,1):Dados1433351823[[#This Row],[Abril]])), "")</f>
        <v>0</v>
      </c>
    </row>
    <row r="37" spans="2:16" ht="30" customHeight="1" x14ac:dyDescent="0.4">
      <c r="B37" s="6" t="s">
        <v>47</v>
      </c>
      <c r="C37" s="6"/>
      <c r="D37" s="7"/>
      <c r="E37" s="8"/>
      <c r="F37" s="7"/>
      <c r="G37" s="8"/>
      <c r="H37" s="8"/>
      <c r="I37" s="8"/>
      <c r="J37" s="8"/>
      <c r="K37" s="8"/>
      <c r="L37" s="8"/>
      <c r="M37" s="8"/>
      <c r="N37" s="8"/>
      <c r="O37" s="8"/>
      <c r="P37" s="9">
        <f>IFERROR(IF(ROW()-ROW(Dados1433351823[[#Headers],[Total]])=1,Dados1433351823[[#This Row],[Abril]]+Dados1433351823[[#This Row],[Fevereiro]],SUM(INDEX(Dados1433351823[Fevereiro],1,1):Dados1433351823[[#This Row],[Fevereiro]],INDEX(Dados1433351823[Abril],1,1):Dados1433351823[[#This Row],[Abril]])),"")</f>
        <v>0</v>
      </c>
    </row>
    <row r="38" spans="2:16" ht="30" customHeight="1" x14ac:dyDescent="0.4">
      <c r="B38" s="6" t="s">
        <v>21</v>
      </c>
      <c r="C38" s="6"/>
      <c r="D38" s="7">
        <v>0</v>
      </c>
      <c r="E38" s="8">
        <v>130</v>
      </c>
      <c r="F38" s="7">
        <v>130</v>
      </c>
      <c r="G38" s="8"/>
      <c r="H38" s="8"/>
      <c r="I38" s="8"/>
      <c r="J38" s="8"/>
      <c r="K38" s="8"/>
      <c r="L38" s="8"/>
      <c r="M38" s="8"/>
      <c r="N38" s="8"/>
      <c r="O38" s="8"/>
      <c r="P38" s="9">
        <f>IFERROR(IF(ROW()-ROW(Dados1433351823[[#Headers],[Total]])=1,Dados1433351823[[#This Row],[Abril]]+Dados1433351823[[#This Row],[Fevereiro]],SUM(INDEX(Dados1433351823[Fevereiro],1,1):Dados1433351823[[#This Row],[Fevereiro]],INDEX(Dados1433351823[Abril],1,1):Dados1433351823[[#This Row],[Abril]])),"")</f>
        <v>130</v>
      </c>
    </row>
    <row r="39" spans="2:16" ht="30" customHeight="1" x14ac:dyDescent="0.4">
      <c r="B39" s="6" t="s">
        <v>23</v>
      </c>
      <c r="C39" s="6"/>
      <c r="D39" s="7">
        <v>130</v>
      </c>
      <c r="E39" s="8">
        <v>130</v>
      </c>
      <c r="F39" s="7">
        <v>130</v>
      </c>
      <c r="G39" s="8"/>
      <c r="H39" s="8"/>
      <c r="I39" s="8"/>
      <c r="J39" s="8"/>
      <c r="K39" s="8"/>
      <c r="L39" s="8"/>
      <c r="M39" s="8"/>
      <c r="N39" s="8"/>
      <c r="O39" s="8"/>
      <c r="P39" s="9">
        <f>IFERROR(IF(ROW()-ROW(Dados1433351823[[#Headers],[Total]])=1,Dados1433351823[[#This Row],[Abril]]+Dados1433351823[[#This Row],[Fevereiro]],SUM(INDEX(Dados1433351823[Fevereiro],1,1):Dados1433351823[[#This Row],[Fevereiro]],INDEX(Dados1433351823[Abril],1,1):Dados1433351823[[#This Row],[Abril]])),"")</f>
        <v>260</v>
      </c>
    </row>
    <row r="40" spans="2:16" ht="30" customHeight="1" x14ac:dyDescent="0.4">
      <c r="B40" s="6" t="s">
        <v>60</v>
      </c>
      <c r="C40" s="6"/>
      <c r="D40" s="7">
        <v>130</v>
      </c>
      <c r="E40" s="8">
        <v>0</v>
      </c>
      <c r="F40" s="7">
        <v>130</v>
      </c>
      <c r="G40" s="8"/>
      <c r="H40" s="8"/>
      <c r="I40" s="8"/>
      <c r="J40" s="8"/>
      <c r="K40" s="8"/>
      <c r="L40" s="8"/>
      <c r="M40" s="8"/>
      <c r="N40" s="8"/>
      <c r="O40" s="8"/>
      <c r="P40" s="9">
        <f>IFERROR(IF(ROW()-ROW(Dados1433351823[[#Headers],[Total]])=1,Dados1433351823[[#This Row],[Abril]]+Dados1433351823[[#This Row],[Fevereiro]],SUM(INDEX(Dados1433351823[Fevereiro],1,1):Dados1433351823[[#This Row],[Fevereiro]],INDEX(Dados1433351823[Abril],1,1):Dados1433351823[[#This Row],[Abril]])),"")</f>
        <v>260</v>
      </c>
    </row>
    <row r="41" spans="2:16" ht="30" customHeight="1" x14ac:dyDescent="0.4">
      <c r="B41" s="6" t="s">
        <v>17</v>
      </c>
      <c r="C41" s="6"/>
      <c r="D41" s="7"/>
      <c r="E41" s="8"/>
      <c r="F41" s="7"/>
      <c r="G41" s="8"/>
      <c r="H41" s="8"/>
      <c r="I41" s="8"/>
      <c r="J41" s="8"/>
      <c r="K41" s="8"/>
      <c r="L41" s="8"/>
      <c r="M41" s="8"/>
      <c r="N41" s="8"/>
      <c r="O41" s="8"/>
      <c r="P41" s="9">
        <f>IFERROR(IF(ROW()-ROW(Dados1433351823[[#Headers],[Total]])=1,Dados1433351823[[#This Row],[Abril]]+Dados1433351823[[#This Row],[Fevereiro]],SUM(INDEX(Dados1433351823[Fevereiro],1,1):Dados1433351823[[#This Row],[Fevereiro]],INDEX(Dados1433351823[Abril],1,1):Dados1433351823[[#This Row],[Abril]])),"")</f>
        <v>260</v>
      </c>
    </row>
    <row r="42" spans="2:16" ht="30" customHeight="1" x14ac:dyDescent="0.4">
      <c r="B42" s="6" t="s">
        <v>25</v>
      </c>
      <c r="C42" s="6"/>
      <c r="D42" s="7">
        <v>130</v>
      </c>
      <c r="E42" s="8">
        <v>0</v>
      </c>
      <c r="F42" s="7">
        <v>0</v>
      </c>
      <c r="G42" s="8"/>
      <c r="H42" s="8"/>
      <c r="I42" s="8"/>
      <c r="J42" s="8"/>
      <c r="K42" s="8"/>
      <c r="L42" s="8"/>
      <c r="M42" s="8"/>
      <c r="N42" s="8"/>
      <c r="O42" s="8"/>
      <c r="P42" s="9">
        <f>IFERROR(IF(ROW()-ROW(Dados1433351823[[#Headers],[Total]])=1,Dados1433351823[[#This Row],[Abril]]+Dados1433351823[[#This Row],[Fevereiro]],SUM(INDEX(Dados1433351823[Fevereiro],1,1):Dados1433351823[[#This Row],[Fevereiro]],INDEX(Dados1433351823[Abril],1,1):Dados1433351823[[#This Row],[Abril]])),"")</f>
        <v>260</v>
      </c>
    </row>
    <row r="43" spans="2:16" ht="30" customHeight="1" x14ac:dyDescent="0.4">
      <c r="B43" s="6" t="s">
        <v>61</v>
      </c>
      <c r="C43" s="6"/>
      <c r="D43" s="7">
        <v>130</v>
      </c>
      <c r="E43" s="8">
        <v>130</v>
      </c>
      <c r="F43" s="7">
        <v>130</v>
      </c>
      <c r="G43" s="8"/>
      <c r="H43" s="8"/>
      <c r="I43" s="8"/>
      <c r="J43" s="8"/>
      <c r="K43" s="8"/>
      <c r="L43" s="8"/>
      <c r="M43" s="8"/>
      <c r="N43" s="8"/>
      <c r="O43" s="8"/>
      <c r="P43" s="9">
        <f>IFERROR(IF(ROW()-ROW(Dados1433351823[[#Headers],[Total]])=1,Dados1433351823[[#This Row],[Abril]]+Dados1433351823[[#This Row],[Fevereiro]],SUM(INDEX(Dados1433351823[Fevereiro],1,1):Dados1433351823[[#This Row],[Fevereiro]],INDEX(Dados1433351823[Abril],1,1):Dados1433351823[[#This Row],[Abril]])),"")</f>
        <v>390</v>
      </c>
    </row>
    <row r="44" spans="2:16" ht="30" customHeight="1" x14ac:dyDescent="0.4">
      <c r="B44" s="6" t="s">
        <v>78</v>
      </c>
      <c r="C44" s="6"/>
      <c r="D44" s="7">
        <v>130</v>
      </c>
      <c r="E44" s="8"/>
      <c r="F44" s="7">
        <v>130</v>
      </c>
      <c r="G44" s="8"/>
      <c r="H44" s="8"/>
      <c r="I44" s="8"/>
      <c r="J44" s="8"/>
      <c r="K44" s="8"/>
      <c r="L44" s="8"/>
      <c r="M44" s="8"/>
      <c r="N44" s="8"/>
      <c r="O44" s="8"/>
      <c r="P44" s="9">
        <f>IFERROR(IF(ROW()-ROW(Dados1433351823[[#Headers],[Total]])=1,Dados1433351823[[#This Row],[Abril]]+Dados1433351823[[#This Row],[Fevereiro]],SUM(INDEX(Dados1433351823[Fevereiro],1,1):Dados1433351823[[#This Row],[Fevereiro]],INDEX(Dados1433351823[Abril],1,1):Dados1433351823[[#This Row],[Abril]])),"")</f>
        <v>390</v>
      </c>
    </row>
    <row r="45" spans="2:16" ht="30" customHeight="1" x14ac:dyDescent="0.4">
      <c r="B45" s="6" t="s">
        <v>63</v>
      </c>
      <c r="C45" s="6"/>
      <c r="D45" s="7">
        <v>130</v>
      </c>
      <c r="E45" s="8">
        <v>130</v>
      </c>
      <c r="F45" s="7"/>
      <c r="G45" s="8"/>
      <c r="H45" s="8"/>
      <c r="I45" s="8"/>
      <c r="J45" s="8"/>
      <c r="K45" s="8"/>
      <c r="L45" s="8"/>
      <c r="M45" s="8"/>
      <c r="N45" s="8"/>
      <c r="O45" s="8"/>
      <c r="P45" s="9">
        <f>IFERROR(IF(ROW()-ROW(Dados1433351823[[#Headers],[Total]])=1,Dados1433351823[[#This Row],[Abril]]+Dados1433351823[[#This Row],[Fevereiro]],SUM(INDEX(Dados1433351823[Fevereiro],1,1):Dados1433351823[[#This Row],[Fevereiro]],INDEX(Dados1433351823[Abril],1,1):Dados1433351823[[#This Row],[Abril]])),"")</f>
        <v>520</v>
      </c>
    </row>
    <row r="46" spans="2:16" ht="30" customHeight="1" x14ac:dyDescent="0.4">
      <c r="B46" s="6" t="s">
        <v>79</v>
      </c>
      <c r="C46" s="6"/>
      <c r="D46" s="7"/>
      <c r="E46" s="8"/>
      <c r="F46" s="7"/>
      <c r="G46" s="8"/>
      <c r="H46" s="8"/>
      <c r="I46" s="8"/>
      <c r="J46" s="8"/>
      <c r="K46" s="8"/>
      <c r="L46" s="8"/>
      <c r="M46" s="8"/>
      <c r="N46" s="8"/>
      <c r="O46" s="8"/>
      <c r="P46" s="9">
        <f>IFERROR(IF(ROW()-ROW(Dados1433351823[[#Headers],[Total]])=1,Dados1433351823[[#This Row],[Abril]]+Dados1433351823[[#This Row],[Fevereiro]],SUM(INDEX(Dados1433351823[Fevereiro],1,1):Dados1433351823[[#This Row],[Fevereiro]],INDEX(Dados1433351823[Abril],1,1):Dados1433351823[[#This Row],[Abril]])),"")</f>
        <v>520</v>
      </c>
    </row>
    <row r="47" spans="2:16" ht="30" customHeight="1" x14ac:dyDescent="0.4">
      <c r="B47" s="6" t="s">
        <v>80</v>
      </c>
      <c r="C47" s="6"/>
      <c r="D47" s="7"/>
      <c r="E47" s="8"/>
      <c r="F47" s="7"/>
      <c r="G47" s="8"/>
      <c r="H47" s="8"/>
      <c r="I47" s="8"/>
      <c r="J47" s="8"/>
      <c r="K47" s="8"/>
      <c r="L47" s="8"/>
      <c r="M47" s="8"/>
      <c r="N47" s="8"/>
      <c r="O47" s="8"/>
      <c r="P47" s="9">
        <f>IFERROR(IF(ROW()-ROW(Dados1433351823[[#Headers],[Total]])=1,Dados1433351823[[#This Row],[Abril]]+Dados1433351823[[#This Row],[Fevereiro]],SUM(INDEX(Dados1433351823[Fevereiro],1,1):Dados1433351823[[#This Row],[Fevereiro]],INDEX(Dados1433351823[Abril],1,1):Dados1433351823[[#This Row],[Abril]])),"")</f>
        <v>520</v>
      </c>
    </row>
    <row r="48" spans="2:16" ht="30" customHeight="1" x14ac:dyDescent="0.4">
      <c r="B48" s="19" t="s">
        <v>16</v>
      </c>
      <c r="C48" s="19"/>
      <c r="D48" s="17">
        <f>SUBTOTAL(109,Dados1433351823[Janeiro])</f>
        <v>780</v>
      </c>
      <c r="E48" s="17">
        <f>SUBTOTAL(109,Dados1433351823[Fevereiro])</f>
        <v>520</v>
      </c>
      <c r="F48" s="17">
        <f>SUBTOTAL(109,Dados1433351823[Março])</f>
        <v>650</v>
      </c>
      <c r="G48" s="22"/>
      <c r="H48" s="22"/>
      <c r="I48" s="22"/>
      <c r="J48" s="22"/>
      <c r="K48" s="22"/>
      <c r="L48" s="22"/>
      <c r="M48" s="22"/>
      <c r="N48" s="22"/>
      <c r="O48" s="22"/>
      <c r="P48" s="3"/>
    </row>
    <row r="49" spans="2:17" ht="30" customHeight="1" x14ac:dyDescent="0.4">
      <c r="B49" s="3"/>
      <c r="C49" s="3"/>
      <c r="D49" s="3"/>
      <c r="E49" s="10"/>
      <c r="F49" s="3"/>
      <c r="G49" s="10"/>
      <c r="H49" s="10"/>
      <c r="I49" s="10"/>
      <c r="J49" s="10"/>
      <c r="K49" s="10"/>
      <c r="L49" s="10"/>
      <c r="M49" s="10"/>
      <c r="N49" s="10"/>
      <c r="O49" s="10"/>
      <c r="P49" s="3"/>
    </row>
    <row r="50" spans="2:17" ht="30" customHeight="1" x14ac:dyDescent="0.4">
      <c r="B50" s="2" t="s">
        <v>28</v>
      </c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2:17" ht="30" customHeight="1" x14ac:dyDescent="0.4">
      <c r="B51" s="3" t="s">
        <v>2</v>
      </c>
      <c r="C51" s="3" t="s">
        <v>3</v>
      </c>
      <c r="D51" s="4" t="s">
        <v>4</v>
      </c>
      <c r="E51" s="4" t="s">
        <v>5</v>
      </c>
      <c r="F51" s="4" t="s">
        <v>6</v>
      </c>
      <c r="G51" s="4" t="s">
        <v>7</v>
      </c>
      <c r="H51" s="4" t="s">
        <v>8</v>
      </c>
      <c r="I51" s="4" t="s">
        <v>9</v>
      </c>
      <c r="J51" s="4" t="s">
        <v>10</v>
      </c>
      <c r="K51" s="4" t="s">
        <v>11</v>
      </c>
      <c r="L51" s="4" t="s">
        <v>12</v>
      </c>
      <c r="M51" s="4" t="s">
        <v>13</v>
      </c>
      <c r="N51" s="4" t="s">
        <v>14</v>
      </c>
      <c r="O51" s="4" t="s">
        <v>15</v>
      </c>
      <c r="P51" s="5" t="s">
        <v>16</v>
      </c>
    </row>
    <row r="52" spans="2:17" ht="30" customHeight="1" x14ac:dyDescent="0.4">
      <c r="B52" s="6" t="s">
        <v>24</v>
      </c>
      <c r="C52" s="6"/>
      <c r="D52" s="7">
        <v>561.79999999999995</v>
      </c>
      <c r="E52" s="8">
        <v>747.56</v>
      </c>
      <c r="F52" s="7">
        <v>741.83</v>
      </c>
      <c r="G52" s="8"/>
      <c r="H52" s="8"/>
      <c r="I52" s="8"/>
      <c r="J52" s="8"/>
      <c r="K52" s="8"/>
      <c r="L52" s="8"/>
      <c r="M52" s="8"/>
      <c r="N52" s="8"/>
      <c r="O52" s="8"/>
      <c r="P52" s="9">
        <f>IFERROR(IF(ROW()-ROW(Dados1433361932[[#Headers],[Total]])=1,Dados1433361932[[#This Row],[Abril]]+Dados1433361932[[#This Row],[Fevereiro]],SUM(INDEX(Dados1433361932[Fevereiro],1,1):Dados1433361932[[#This Row],[Fevereiro]],INDEX(Dados1433361932[Abril],1,1):Dados1433361932[[#This Row],[Abril]])), "")</f>
        <v>747.56</v>
      </c>
    </row>
    <row r="53" spans="2:17" ht="30" customHeight="1" x14ac:dyDescent="0.4">
      <c r="B53" s="6" t="s">
        <v>47</v>
      </c>
      <c r="C53" s="6"/>
      <c r="D53" s="7"/>
      <c r="E53" s="8"/>
      <c r="F53" s="7"/>
      <c r="G53" s="8"/>
      <c r="H53" s="8"/>
      <c r="I53" s="8"/>
      <c r="J53" s="8"/>
      <c r="K53" s="8"/>
      <c r="L53" s="8"/>
      <c r="M53" s="8"/>
      <c r="N53" s="8"/>
      <c r="O53" s="8"/>
      <c r="P53" s="9">
        <f>IFERROR(IF(ROW()-ROW(Dados1433361932[[#Headers],[Total]])=1,Dados1433361932[[#This Row],[Abril]]+Dados1433361932[[#This Row],[Fevereiro]],SUM(INDEX(Dados1433361932[Fevereiro],1,1):Dados1433361932[[#This Row],[Fevereiro]],INDEX(Dados1433361932[Abril],1,1):Dados1433361932[[#This Row],[Abril]])),"")</f>
        <v>747.56</v>
      </c>
    </row>
    <row r="54" spans="2:17" ht="30" customHeight="1" x14ac:dyDescent="0.4">
      <c r="B54" s="6" t="s">
        <v>21</v>
      </c>
      <c r="C54" s="6"/>
      <c r="D54" s="7"/>
      <c r="E54" s="8"/>
      <c r="F54" s="7"/>
      <c r="G54" s="8"/>
      <c r="H54" s="8"/>
      <c r="I54" s="8"/>
      <c r="J54" s="8"/>
      <c r="K54" s="8"/>
      <c r="L54" s="8"/>
      <c r="M54" s="8"/>
      <c r="N54" s="8"/>
      <c r="O54" s="8"/>
      <c r="P54" s="9">
        <f>IFERROR(IF(ROW()-ROW(Dados1433361932[[#Headers],[Total]])=1,Dados1433361932[[#This Row],[Abril]]+Dados1433361932[[#This Row],[Fevereiro]],SUM(INDEX(Dados1433361932[Fevereiro],1,1):Dados1433361932[[#This Row],[Fevereiro]],INDEX(Dados1433361932[Abril],1,1):Dados1433361932[[#This Row],[Abril]])),"")</f>
        <v>747.56</v>
      </c>
    </row>
    <row r="55" spans="2:17" ht="30" customHeight="1" x14ac:dyDescent="0.4">
      <c r="B55" s="6" t="s">
        <v>23</v>
      </c>
      <c r="C55" s="6"/>
      <c r="D55" s="7"/>
      <c r="E55" s="8"/>
      <c r="F55" s="7"/>
      <c r="G55" s="8"/>
      <c r="H55" s="8"/>
      <c r="I55" s="8"/>
      <c r="J55" s="8"/>
      <c r="K55" s="8"/>
      <c r="L55" s="8"/>
      <c r="M55" s="8"/>
      <c r="N55" s="8"/>
      <c r="O55" s="8"/>
      <c r="P55" s="9">
        <f>IFERROR(IF(ROW()-ROW(Dados1433361932[[#Headers],[Total]])=1,Dados1433361932[[#This Row],[Abril]]+Dados1433361932[[#This Row],[Fevereiro]],SUM(INDEX(Dados1433361932[Fevereiro],1,1):Dados1433361932[[#This Row],[Fevereiro]],INDEX(Dados1433361932[Abril],1,1):Dados1433361932[[#This Row],[Abril]])),"")</f>
        <v>747.56</v>
      </c>
    </row>
    <row r="56" spans="2:17" ht="30" customHeight="1" x14ac:dyDescent="0.4">
      <c r="B56" s="6" t="s">
        <v>60</v>
      </c>
      <c r="C56" s="6"/>
      <c r="D56" s="7">
        <v>333.72</v>
      </c>
      <c r="E56" s="8">
        <v>371.76</v>
      </c>
      <c r="F56" s="7">
        <v>475.8</v>
      </c>
      <c r="G56" s="8"/>
      <c r="H56" s="8"/>
      <c r="I56" s="8"/>
      <c r="J56" s="8"/>
      <c r="K56" s="8"/>
      <c r="L56" s="8"/>
      <c r="M56" s="8"/>
      <c r="N56" s="8"/>
      <c r="O56" s="8"/>
      <c r="P56" s="9">
        <f>IFERROR(IF(ROW()-ROW(Dados1433361932[[#Headers],[Total]])=1,Dados1433361932[[#This Row],[Abril]]+Dados1433361932[[#This Row],[Fevereiro]],SUM(INDEX(Dados1433361932[Fevereiro],1,1):Dados1433361932[[#This Row],[Fevereiro]],INDEX(Dados1433361932[Abril],1,1):Dados1433361932[[#This Row],[Abril]])),"")</f>
        <v>1119.32</v>
      </c>
    </row>
    <row r="57" spans="2:17" ht="30" customHeight="1" x14ac:dyDescent="0.4">
      <c r="B57" s="6" t="s">
        <v>17</v>
      </c>
      <c r="C57" s="6"/>
      <c r="D57" s="7">
        <v>78.849999999999994</v>
      </c>
      <c r="E57" s="8">
        <v>37.799999999999997</v>
      </c>
      <c r="F57" s="7">
        <v>38.64</v>
      </c>
      <c r="G57" s="8"/>
      <c r="H57" s="8"/>
      <c r="I57" s="8"/>
      <c r="J57" s="8"/>
      <c r="K57" s="8"/>
      <c r="L57" s="8"/>
      <c r="M57" s="8"/>
      <c r="N57" s="8"/>
      <c r="O57" s="8"/>
      <c r="P57" s="9">
        <f>IFERROR(IF(ROW()-ROW(Dados1433361932[[#Headers],[Total]])=1,Dados1433361932[[#This Row],[Abril]]+Dados1433361932[[#This Row],[Fevereiro]],SUM(INDEX(Dados1433361932[Fevereiro],1,1):Dados1433361932[[#This Row],[Fevereiro]],INDEX(Dados1433361932[Abril],1,1):Dados1433361932[[#This Row],[Abril]])),"")</f>
        <v>1157.1199999999999</v>
      </c>
    </row>
    <row r="58" spans="2:17" ht="30" customHeight="1" x14ac:dyDescent="0.4">
      <c r="B58" s="6" t="s">
        <v>25</v>
      </c>
      <c r="C58" s="6"/>
      <c r="D58" s="7"/>
      <c r="E58" s="8"/>
      <c r="F58" s="7"/>
      <c r="G58" s="8"/>
      <c r="H58" s="8"/>
      <c r="I58" s="8"/>
      <c r="J58" s="8"/>
      <c r="K58" s="8"/>
      <c r="L58" s="8"/>
      <c r="M58" s="8"/>
      <c r="N58" s="8"/>
      <c r="O58" s="8"/>
      <c r="P58" s="9">
        <f>IFERROR(IF(ROW()-ROW(Dados1433361932[[#Headers],[Total]])=1,Dados1433361932[[#This Row],[Abril]]+Dados1433361932[[#This Row],[Fevereiro]],SUM(INDEX(Dados1433361932[Fevereiro],1,1):Dados1433361932[[#This Row],[Fevereiro]],INDEX(Dados1433361932[Abril],1,1):Dados1433361932[[#This Row],[Abril]])),"")</f>
        <v>1157.1199999999999</v>
      </c>
    </row>
    <row r="59" spans="2:17" ht="30" customHeight="1" x14ac:dyDescent="0.4">
      <c r="B59" s="6" t="s">
        <v>61</v>
      </c>
      <c r="C59" s="6"/>
      <c r="D59" s="7">
        <v>31.03</v>
      </c>
      <c r="E59" s="8"/>
      <c r="F59" s="7"/>
      <c r="G59" s="8"/>
      <c r="H59" s="8"/>
      <c r="I59" s="8"/>
      <c r="J59" s="8"/>
      <c r="K59" s="8"/>
      <c r="L59" s="8"/>
      <c r="M59" s="8"/>
      <c r="N59" s="8"/>
      <c r="O59" s="8"/>
      <c r="P59" s="9">
        <f>IFERROR(IF(ROW()-ROW(Dados1433361932[[#Headers],[Total]])=1,Dados1433361932[[#This Row],[Abril]]+Dados1433361932[[#This Row],[Fevereiro]],SUM(INDEX(Dados1433361932[Fevereiro],1,1):Dados1433361932[[#This Row],[Fevereiro]],INDEX(Dados1433361932[Abril],1,1):Dados1433361932[[#This Row],[Abril]])),"")</f>
        <v>1157.1199999999999</v>
      </c>
    </row>
    <row r="60" spans="2:17" ht="30" customHeight="1" x14ac:dyDescent="0.4">
      <c r="B60" s="6" t="s">
        <v>78</v>
      </c>
      <c r="C60" s="6"/>
      <c r="D60" s="7"/>
      <c r="E60" s="8"/>
      <c r="F60" s="7"/>
      <c r="G60" s="8"/>
      <c r="H60" s="8"/>
      <c r="I60" s="8"/>
      <c r="J60" s="8"/>
      <c r="K60" s="8"/>
      <c r="L60" s="8"/>
      <c r="M60" s="8"/>
      <c r="N60" s="8"/>
      <c r="O60" s="8"/>
      <c r="P60" s="9">
        <f>IFERROR(IF(ROW()-ROW(Dados1433361932[[#Headers],[Total]])=1,Dados1433361932[[#This Row],[Abril]]+Dados1433361932[[#This Row],[Fevereiro]],SUM(INDEX(Dados1433361932[Fevereiro],1,1):Dados1433361932[[#This Row],[Fevereiro]],INDEX(Dados1433361932[Abril],1,1):Dados1433361932[[#This Row],[Abril]])),"")</f>
        <v>1157.1199999999999</v>
      </c>
    </row>
    <row r="61" spans="2:17" ht="30" customHeight="1" x14ac:dyDescent="0.4">
      <c r="B61" s="6" t="s">
        <v>63</v>
      </c>
      <c r="C61" s="6"/>
      <c r="D61" s="7"/>
      <c r="E61" s="8"/>
      <c r="F61" s="7"/>
      <c r="G61" s="8"/>
      <c r="H61" s="8"/>
      <c r="I61" s="8"/>
      <c r="J61" s="8"/>
      <c r="K61" s="8"/>
      <c r="L61" s="8"/>
      <c r="M61" s="8"/>
      <c r="N61" s="8"/>
      <c r="O61" s="8"/>
      <c r="P61" s="9">
        <f>IFERROR(IF(ROW()-ROW(Dados1433361932[[#Headers],[Total]])=1,Dados1433361932[[#This Row],[Abril]]+Dados1433361932[[#This Row],[Fevereiro]],SUM(INDEX(Dados1433361932[Fevereiro],1,1):Dados1433361932[[#This Row],[Fevereiro]],INDEX(Dados1433361932[Abril],1,1):Dados1433361932[[#This Row],[Abril]])),"")</f>
        <v>1157.1199999999999</v>
      </c>
    </row>
    <row r="62" spans="2:17" ht="30" customHeight="1" x14ac:dyDescent="0.4">
      <c r="B62" s="6" t="s">
        <v>79</v>
      </c>
      <c r="C62" s="6"/>
      <c r="D62" s="7"/>
      <c r="E62" s="8"/>
      <c r="F62" s="7"/>
      <c r="G62" s="8"/>
      <c r="H62" s="8"/>
      <c r="I62" s="8"/>
      <c r="J62" s="8"/>
      <c r="K62" s="8"/>
      <c r="L62" s="8"/>
      <c r="M62" s="8"/>
      <c r="N62" s="8"/>
      <c r="O62" s="8"/>
      <c r="P62" s="9">
        <f>IFERROR(IF(ROW()-ROW(Dados1433361932[[#Headers],[Total]])=1,Dados1433361932[[#This Row],[Abril]]+Dados1433361932[[#This Row],[Fevereiro]],SUM(INDEX(Dados1433361932[Fevereiro],1,1):Dados1433361932[[#This Row],[Fevereiro]],INDEX(Dados1433361932[Abril],1,1):Dados1433361932[[#This Row],[Abril]])),"")</f>
        <v>1157.1199999999999</v>
      </c>
    </row>
    <row r="63" spans="2:17" ht="30" customHeight="1" x14ac:dyDescent="0.4">
      <c r="B63" s="6" t="s">
        <v>80</v>
      </c>
      <c r="C63" s="6"/>
      <c r="D63" s="7"/>
      <c r="E63" s="8"/>
      <c r="F63" s="7"/>
      <c r="G63" s="8"/>
      <c r="H63" s="8"/>
      <c r="I63" s="8"/>
      <c r="J63" s="8"/>
      <c r="K63" s="8"/>
      <c r="L63" s="8"/>
      <c r="M63" s="8"/>
      <c r="N63" s="8"/>
      <c r="O63" s="8"/>
      <c r="P63" s="9">
        <f>IFERROR(IF(ROW()-ROW(Dados1433361932[[#Headers],[Total]])=1,Dados1433361932[[#This Row],[Abril]]+Dados1433361932[[#This Row],[Fevereiro]],SUM(INDEX(Dados1433361932[Fevereiro],1,1):Dados1433361932[[#This Row],[Fevereiro]],INDEX(Dados1433361932[Abril],1,1):Dados1433361932[[#This Row],[Abril]])),"")</f>
        <v>1157.1199999999999</v>
      </c>
    </row>
    <row r="64" spans="2:17" ht="30" customHeight="1" x14ac:dyDescent="0.4">
      <c r="B64" s="19" t="s">
        <v>16</v>
      </c>
      <c r="C64" s="19"/>
      <c r="D64" s="17">
        <f>SUBTOTAL(109,Dados1433361932[Janeiro])</f>
        <v>1005.4</v>
      </c>
      <c r="E64" s="17">
        <f>SUBTOTAL(109,Dados1433361932[Fevereiro])</f>
        <v>1157.1199999999999</v>
      </c>
      <c r="F64" s="17">
        <f>SUBTOTAL(109,Dados1433361932[Março])</f>
        <v>1256.2700000000002</v>
      </c>
      <c r="G64" s="22"/>
      <c r="H64" s="22"/>
      <c r="I64" s="22"/>
      <c r="J64" s="22"/>
      <c r="K64" s="22"/>
      <c r="L64" s="22"/>
      <c r="M64" s="22"/>
      <c r="N64" s="22"/>
      <c r="O64" s="22"/>
      <c r="P64" s="19"/>
      <c r="Q64" s="23"/>
    </row>
    <row r="65" spans="2:16" ht="30" customHeight="1" x14ac:dyDescent="0.4">
      <c r="B65" s="3"/>
      <c r="C65" s="3"/>
      <c r="D65" s="3"/>
      <c r="E65" s="10"/>
      <c r="F65" s="3"/>
      <c r="G65" s="10"/>
      <c r="H65" s="10"/>
      <c r="I65" s="10"/>
      <c r="J65" s="10"/>
      <c r="K65" s="10"/>
      <c r="L65" s="10"/>
      <c r="M65" s="10"/>
      <c r="N65" s="10"/>
      <c r="O65" s="10"/>
      <c r="P65" s="3"/>
    </row>
    <row r="66" spans="2:16" ht="30" customHeight="1" x14ac:dyDescent="0.4">
      <c r="B66" s="2" t="s">
        <v>26</v>
      </c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2:16" ht="30" customHeight="1" x14ac:dyDescent="0.4">
      <c r="B67" s="3" t="s">
        <v>2</v>
      </c>
      <c r="C67" s="3" t="s">
        <v>3</v>
      </c>
      <c r="D67" s="4" t="s">
        <v>4</v>
      </c>
      <c r="E67" s="4" t="s">
        <v>5</v>
      </c>
      <c r="F67" s="4" t="s">
        <v>6</v>
      </c>
      <c r="G67" s="4" t="s">
        <v>7</v>
      </c>
      <c r="H67" s="4" t="s">
        <v>8</v>
      </c>
      <c r="I67" s="4" t="s">
        <v>9</v>
      </c>
      <c r="J67" s="4" t="s">
        <v>10</v>
      </c>
      <c r="K67" s="4" t="s">
        <v>11</v>
      </c>
      <c r="L67" s="4" t="s">
        <v>12</v>
      </c>
      <c r="M67" s="4" t="s">
        <v>13</v>
      </c>
      <c r="N67" s="4" t="s">
        <v>14</v>
      </c>
      <c r="O67" s="4" t="s">
        <v>15</v>
      </c>
      <c r="P67" s="5" t="s">
        <v>16</v>
      </c>
    </row>
    <row r="68" spans="2:16" ht="30" customHeight="1" x14ac:dyDescent="0.4">
      <c r="B68" s="6" t="s">
        <v>24</v>
      </c>
      <c r="C68" s="6"/>
      <c r="D68" s="7"/>
      <c r="E68" s="8"/>
      <c r="F68" s="7">
        <v>1.86</v>
      </c>
      <c r="G68" s="8"/>
      <c r="H68" s="21"/>
      <c r="I68" s="8"/>
      <c r="J68" s="8"/>
      <c r="K68" s="8"/>
      <c r="L68" s="8"/>
      <c r="M68" s="8"/>
      <c r="N68" s="8"/>
      <c r="O68" s="8"/>
      <c r="P68" s="9">
        <f>IFERROR(IF(ROW()-ROW(Dados1433341722[[#Headers],[Total]])=1,Dados1433341722[[#This Row],[Abril]]+Dados1433341722[[#This Row],[Fevereiro]],SUM(INDEX(Dados1433341722[Fevereiro],1,1):Dados1433341722[[#This Row],[Fevereiro]],INDEX(Dados1433341722[Abril],1,1):Dados1433341722[[#This Row],[Abril]])), "")</f>
        <v>0</v>
      </c>
    </row>
    <row r="69" spans="2:16" ht="30" customHeight="1" x14ac:dyDescent="0.4">
      <c r="B69" s="6" t="s">
        <v>47</v>
      </c>
      <c r="C69" s="6"/>
      <c r="D69" s="7">
        <v>6.2</v>
      </c>
      <c r="E69" s="8">
        <v>1.31</v>
      </c>
      <c r="F69" s="7">
        <v>130.24</v>
      </c>
      <c r="G69" s="8"/>
      <c r="H69" s="8"/>
      <c r="I69" s="8"/>
      <c r="J69" s="8"/>
      <c r="K69" s="8"/>
      <c r="L69" s="8"/>
      <c r="M69" s="8"/>
      <c r="N69" s="8"/>
      <c r="O69" s="8"/>
      <c r="P69" s="9">
        <f>IFERROR(IF(ROW()-ROW(Dados1433341722[[#Headers],[Total]])=1,Dados1433341722[[#This Row],[Abril]]+Dados1433341722[[#This Row],[Fevereiro]],SUM(INDEX(Dados1433341722[Fevereiro],1,1):Dados1433341722[[#This Row],[Fevereiro]],INDEX(Dados1433341722[Abril],1,1):Dados1433341722[[#This Row],[Abril]])),"")</f>
        <v>1.31</v>
      </c>
    </row>
    <row r="70" spans="2:16" ht="30" customHeight="1" x14ac:dyDescent="0.4">
      <c r="B70" s="6" t="s">
        <v>21</v>
      </c>
      <c r="C70" s="6"/>
      <c r="D70" s="7">
        <v>61.64</v>
      </c>
      <c r="E70" s="8">
        <v>152.82</v>
      </c>
      <c r="F70" s="7">
        <v>51.31</v>
      </c>
      <c r="G70" s="8"/>
      <c r="H70" s="8"/>
      <c r="I70" s="8"/>
      <c r="J70" s="8"/>
      <c r="K70" s="8"/>
      <c r="L70" s="8"/>
      <c r="M70" s="8"/>
      <c r="N70" s="8"/>
      <c r="O70" s="8"/>
      <c r="P70" s="9">
        <f>IFERROR(IF(ROW()-ROW(Dados1433341722[[#Headers],[Total]])=1,Dados1433341722[[#This Row],[Abril]]+Dados1433341722[[#This Row],[Fevereiro]],SUM(INDEX(Dados1433341722[Fevereiro],1,1):Dados1433341722[[#This Row],[Fevereiro]],INDEX(Dados1433341722[Abril],1,1):Dados1433341722[[#This Row],[Abril]])),"")</f>
        <v>154.13</v>
      </c>
    </row>
    <row r="71" spans="2:16" ht="30" customHeight="1" x14ac:dyDescent="0.4">
      <c r="B71" s="6" t="s">
        <v>23</v>
      </c>
      <c r="C71" s="6"/>
      <c r="D71" s="7">
        <v>156.86000000000001</v>
      </c>
      <c r="E71" s="8">
        <v>168.57</v>
      </c>
      <c r="F71" s="7">
        <v>121.09</v>
      </c>
      <c r="G71" s="8"/>
      <c r="H71" s="8"/>
      <c r="I71" s="8"/>
      <c r="J71" s="8"/>
      <c r="K71" s="8"/>
      <c r="L71" s="8"/>
      <c r="M71" s="8"/>
      <c r="N71" s="8"/>
      <c r="O71" s="8"/>
      <c r="P71" s="9">
        <f>IFERROR(IF(ROW()-ROW(Dados1433341722[[#Headers],[Total]])=1,Dados1433341722[[#This Row],[Abril]]+Dados1433341722[[#This Row],[Fevereiro]],SUM(INDEX(Dados1433341722[Fevereiro],1,1):Dados1433341722[[#This Row],[Fevereiro]],INDEX(Dados1433341722[Abril],1,1):Dados1433341722[[#This Row],[Abril]])),"")</f>
        <v>322.7</v>
      </c>
    </row>
    <row r="72" spans="2:16" ht="30" customHeight="1" x14ac:dyDescent="0.4">
      <c r="B72" s="6" t="s">
        <v>60</v>
      </c>
      <c r="C72" s="6"/>
      <c r="D72" s="7">
        <v>0.45</v>
      </c>
      <c r="E72" s="8"/>
      <c r="F72" s="7"/>
      <c r="G72" s="8"/>
      <c r="H72" s="8"/>
      <c r="I72" s="8"/>
      <c r="J72" s="8"/>
      <c r="K72" s="8"/>
      <c r="L72" s="8"/>
      <c r="M72" s="8"/>
      <c r="N72" s="8"/>
      <c r="O72" s="8"/>
      <c r="P72" s="9">
        <f>IFERROR(IF(ROW()-ROW(Dados1433341722[[#Headers],[Total]])=1,Dados1433341722[[#This Row],[Abril]]+Dados1433341722[[#This Row],[Fevereiro]],SUM(INDEX(Dados1433341722[Fevereiro],1,1):Dados1433341722[[#This Row],[Fevereiro]],INDEX(Dados1433341722[Abril],1,1):Dados1433341722[[#This Row],[Abril]])),"")</f>
        <v>322.7</v>
      </c>
    </row>
    <row r="73" spans="2:16" ht="30" customHeight="1" x14ac:dyDescent="0.4">
      <c r="B73" s="6" t="s">
        <v>17</v>
      </c>
      <c r="C73" s="6"/>
      <c r="D73" s="7"/>
      <c r="E73" s="8"/>
      <c r="F73" s="7"/>
      <c r="G73" s="8"/>
      <c r="H73" s="8"/>
      <c r="I73" s="8"/>
      <c r="J73" s="8"/>
      <c r="K73" s="8"/>
      <c r="L73" s="8"/>
      <c r="M73" s="8"/>
      <c r="N73" s="8"/>
      <c r="O73" s="8"/>
      <c r="P73" s="9">
        <f>IFERROR(IF(ROW()-ROW(Dados1433341722[[#Headers],[Total]])=1,Dados1433341722[[#This Row],[Abril]]+Dados1433341722[[#This Row],[Fevereiro]],SUM(INDEX(Dados1433341722[Fevereiro],1,1):Dados1433341722[[#This Row],[Fevereiro]],INDEX(Dados1433341722[Abril],1,1):Dados1433341722[[#This Row],[Abril]])),"")</f>
        <v>322.7</v>
      </c>
    </row>
    <row r="74" spans="2:16" ht="30" customHeight="1" x14ac:dyDescent="0.4">
      <c r="B74" s="6" t="s">
        <v>25</v>
      </c>
      <c r="C74" s="6"/>
      <c r="D74" s="7"/>
      <c r="E74" s="8"/>
      <c r="F74" s="7"/>
      <c r="G74" s="8"/>
      <c r="H74" s="8"/>
      <c r="I74" s="8"/>
      <c r="J74" s="8"/>
      <c r="K74" s="8"/>
      <c r="L74" s="8"/>
      <c r="M74" s="8"/>
      <c r="N74" s="8"/>
      <c r="O74" s="8"/>
      <c r="P74" s="9">
        <f>IFERROR(IF(ROW()-ROW(Dados1433341722[[#Headers],[Total]])=1,Dados1433341722[[#This Row],[Abril]]+Dados1433341722[[#This Row],[Fevereiro]],SUM(INDEX(Dados1433341722[Fevereiro],1,1):Dados1433341722[[#This Row],[Fevereiro]],INDEX(Dados1433341722[Abril],1,1):Dados1433341722[[#This Row],[Abril]])),"")</f>
        <v>322.7</v>
      </c>
    </row>
    <row r="75" spans="2:16" ht="30" customHeight="1" x14ac:dyDescent="0.4">
      <c r="B75" s="6" t="s">
        <v>61</v>
      </c>
      <c r="C75" s="6"/>
      <c r="D75" s="7"/>
      <c r="E75" s="8"/>
      <c r="F75" s="7"/>
      <c r="G75" s="8"/>
      <c r="H75" s="8"/>
      <c r="I75" s="8"/>
      <c r="J75" s="8"/>
      <c r="K75" s="8"/>
      <c r="L75" s="8"/>
      <c r="M75" s="8"/>
      <c r="N75" s="8"/>
      <c r="O75" s="8"/>
      <c r="P75" s="9">
        <f>IFERROR(IF(ROW()-ROW(Dados1433341722[[#Headers],[Total]])=1,Dados1433341722[[#This Row],[Abril]]+Dados1433341722[[#This Row],[Fevereiro]],SUM(INDEX(Dados1433341722[Fevereiro],1,1):Dados1433341722[[#This Row],[Fevereiro]],INDEX(Dados1433341722[Abril],1,1):Dados1433341722[[#This Row],[Abril]])),"")</f>
        <v>322.7</v>
      </c>
    </row>
    <row r="76" spans="2:16" ht="30" customHeight="1" x14ac:dyDescent="0.4">
      <c r="B76" s="6" t="s">
        <v>78</v>
      </c>
      <c r="C76" s="6"/>
      <c r="D76" s="7"/>
      <c r="E76" s="8">
        <v>6.18</v>
      </c>
      <c r="F76" s="7"/>
      <c r="G76" s="8"/>
      <c r="H76" s="8"/>
      <c r="I76" s="8"/>
      <c r="J76" s="8"/>
      <c r="K76" s="8"/>
      <c r="L76" s="8"/>
      <c r="M76" s="8"/>
      <c r="N76" s="8"/>
      <c r="O76" s="8"/>
      <c r="P76" s="9">
        <f>IFERROR(IF(ROW()-ROW(Dados1433341722[[#Headers],[Total]])=1,Dados1433341722[[#This Row],[Abril]]+Dados1433341722[[#This Row],[Fevereiro]],SUM(INDEX(Dados1433341722[Fevereiro],1,1):Dados1433341722[[#This Row],[Fevereiro]],INDEX(Dados1433341722[Abril],1,1):Dados1433341722[[#This Row],[Abril]])),"")</f>
        <v>328.88</v>
      </c>
    </row>
    <row r="77" spans="2:16" ht="30" customHeight="1" x14ac:dyDescent="0.4">
      <c r="B77" s="6" t="s">
        <v>63</v>
      </c>
      <c r="C77" s="6"/>
      <c r="D77" s="7">
        <v>9.1199999999999992</v>
      </c>
      <c r="E77" s="8">
        <v>2.2799999999999998</v>
      </c>
      <c r="F77" s="7"/>
      <c r="G77" s="8"/>
      <c r="H77" s="8"/>
      <c r="I77" s="8"/>
      <c r="J77" s="8"/>
      <c r="K77" s="8"/>
      <c r="L77" s="8"/>
      <c r="M77" s="8"/>
      <c r="N77" s="8"/>
      <c r="O77" s="8"/>
      <c r="P77" s="9">
        <f>IFERROR(IF(ROW()-ROW(Dados1433341722[[#Headers],[Total]])=1,Dados1433341722[[#This Row],[Abril]]+Dados1433341722[[#This Row],[Fevereiro]],SUM(INDEX(Dados1433341722[Fevereiro],1,1):Dados1433341722[[#This Row],[Fevereiro]],INDEX(Dados1433341722[Abril],1,1):Dados1433341722[[#This Row],[Abril]])),"")</f>
        <v>331.15999999999997</v>
      </c>
    </row>
    <row r="78" spans="2:16" ht="30" customHeight="1" x14ac:dyDescent="0.4">
      <c r="B78" s="6" t="s">
        <v>79</v>
      </c>
      <c r="C78" s="6"/>
      <c r="D78" s="7">
        <v>1.43</v>
      </c>
      <c r="E78" s="8"/>
      <c r="F78" s="7"/>
      <c r="G78" s="8"/>
      <c r="H78" s="8"/>
      <c r="I78" s="8"/>
      <c r="J78" s="8"/>
      <c r="K78" s="8"/>
      <c r="L78" s="8"/>
      <c r="M78" s="8"/>
      <c r="N78" s="8"/>
      <c r="O78" s="8"/>
      <c r="P78" s="9">
        <f>IFERROR(IF(ROW()-ROW(Dados1433341722[[#Headers],[Total]])=1,Dados1433341722[[#This Row],[Abril]]+Dados1433341722[[#This Row],[Fevereiro]],SUM(INDEX(Dados1433341722[Fevereiro],1,1):Dados1433341722[[#This Row],[Fevereiro]],INDEX(Dados1433341722[Abril],1,1):Dados1433341722[[#This Row],[Abril]])),"")</f>
        <v>331.15999999999997</v>
      </c>
    </row>
    <row r="79" spans="2:16" ht="30" customHeight="1" x14ac:dyDescent="0.4">
      <c r="B79" s="6" t="s">
        <v>80</v>
      </c>
      <c r="C79" s="6"/>
      <c r="D79" s="7"/>
      <c r="E79" s="8"/>
      <c r="F79" s="7"/>
      <c r="G79" s="8"/>
      <c r="H79" s="8"/>
      <c r="I79" s="8"/>
      <c r="J79" s="8"/>
      <c r="K79" s="8"/>
      <c r="L79" s="8"/>
      <c r="M79" s="8"/>
      <c r="N79" s="8"/>
      <c r="O79" s="8"/>
      <c r="P79" s="9">
        <f>IFERROR(IF(ROW()-ROW(Dados1433341722[[#Headers],[Total]])=1,Dados1433341722[[#This Row],[Abril]]+Dados1433341722[[#This Row],[Fevereiro]],SUM(INDEX(Dados1433341722[Fevereiro],1,1):Dados1433341722[[#This Row],[Fevereiro]],INDEX(Dados1433341722[Abril],1,1):Dados1433341722[[#This Row],[Abril]])),"")</f>
        <v>331.15999999999997</v>
      </c>
    </row>
    <row r="80" spans="2:16" ht="30" customHeight="1" x14ac:dyDescent="0.4">
      <c r="B80" s="19" t="s">
        <v>16</v>
      </c>
      <c r="C80" s="19"/>
      <c r="D80" s="17">
        <f>SUBTOTAL(109,Dados1433341722[Janeiro])</f>
        <v>235.70000000000002</v>
      </c>
      <c r="E80" s="17">
        <f>SUBTOTAL(109,Dados1433341722[Fevereiro])</f>
        <v>331.15999999999997</v>
      </c>
      <c r="F80" s="17">
        <f>SUBTOTAL(109,Dados1433341722[Março])</f>
        <v>304.5</v>
      </c>
      <c r="G80" s="22"/>
      <c r="H80" s="22"/>
      <c r="I80" s="22"/>
      <c r="J80" s="22"/>
      <c r="K80" s="22"/>
      <c r="L80" s="22"/>
      <c r="M80" s="22"/>
      <c r="N80" s="22"/>
      <c r="O80" s="22"/>
      <c r="P80" s="19"/>
    </row>
    <row r="82" spans="2:16" ht="30" customHeight="1" x14ac:dyDescent="0.4">
      <c r="B82" s="2" t="s">
        <v>91</v>
      </c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2:16" ht="30" customHeight="1" x14ac:dyDescent="0.4">
      <c r="B83" s="3" t="s">
        <v>2</v>
      </c>
      <c r="C83" s="3" t="s">
        <v>3</v>
      </c>
      <c r="D83" s="4" t="s">
        <v>4</v>
      </c>
      <c r="E83" s="4" t="s">
        <v>5</v>
      </c>
      <c r="F83" s="4" t="s">
        <v>6</v>
      </c>
      <c r="G83" s="4" t="s">
        <v>7</v>
      </c>
      <c r="H83" s="4" t="s">
        <v>8</v>
      </c>
      <c r="I83" s="4" t="s">
        <v>9</v>
      </c>
      <c r="J83" s="4" t="s">
        <v>10</v>
      </c>
      <c r="K83" s="4" t="s">
        <v>11</v>
      </c>
      <c r="L83" s="4" t="s">
        <v>12</v>
      </c>
      <c r="M83" s="4" t="s">
        <v>13</v>
      </c>
      <c r="N83" s="4" t="s">
        <v>14</v>
      </c>
      <c r="O83" s="4" t="s">
        <v>15</v>
      </c>
      <c r="P83" s="5" t="s">
        <v>16</v>
      </c>
    </row>
    <row r="84" spans="2:16" ht="30" customHeight="1" x14ac:dyDescent="0.4">
      <c r="B84" s="6" t="s">
        <v>24</v>
      </c>
      <c r="C84" s="6"/>
      <c r="D84" s="7"/>
      <c r="E84" s="8"/>
      <c r="F84" s="7"/>
      <c r="G84" s="8"/>
      <c r="H84" s="21"/>
      <c r="I84" s="8"/>
      <c r="J84" s="8"/>
      <c r="K84" s="8"/>
      <c r="L84" s="8"/>
      <c r="M84" s="8"/>
      <c r="N84" s="8"/>
      <c r="O84" s="8"/>
      <c r="P84" s="9">
        <f>IFERROR(IF(ROW()-ROW(Dados143334172246[[#Headers],[Total]])=1,Dados143334172246[[#This Row],[Abril]]+Dados143334172246[[#This Row],[Fevereiro]],SUM(INDEX(Dados143334172246[Fevereiro],1,1):Dados143334172246[[#This Row],[Fevereiro]],INDEX(Dados143334172246[Abril],1,1):Dados143334172246[[#This Row],[Abril]])), "")</f>
        <v>0</v>
      </c>
    </row>
    <row r="85" spans="2:16" ht="30" customHeight="1" x14ac:dyDescent="0.4">
      <c r="B85" s="6" t="s">
        <v>47</v>
      </c>
      <c r="C85" s="6"/>
      <c r="D85" s="7"/>
      <c r="E85" s="8"/>
      <c r="F85" s="7"/>
      <c r="G85" s="8"/>
      <c r="H85" s="8"/>
      <c r="I85" s="8"/>
      <c r="J85" s="8"/>
      <c r="K85" s="8"/>
      <c r="L85" s="8"/>
      <c r="M85" s="8"/>
      <c r="N85" s="8"/>
      <c r="O85" s="8"/>
      <c r="P85" s="9">
        <f>IFERROR(IF(ROW()-ROW(Dados143334172246[[#Headers],[Total]])=1,Dados143334172246[[#This Row],[Abril]]+Dados143334172246[[#This Row],[Fevereiro]],SUM(INDEX(Dados143334172246[Fevereiro],1,1):Dados143334172246[[#This Row],[Fevereiro]],INDEX(Dados143334172246[Abril],1,1):Dados143334172246[[#This Row],[Abril]])),"")</f>
        <v>0</v>
      </c>
    </row>
    <row r="86" spans="2:16" ht="30" customHeight="1" x14ac:dyDescent="0.4">
      <c r="B86" s="6" t="s">
        <v>21</v>
      </c>
      <c r="C86" s="6"/>
      <c r="D86" s="7"/>
      <c r="E86" s="8"/>
      <c r="F86" s="7"/>
      <c r="G86" s="8"/>
      <c r="H86" s="8"/>
      <c r="I86" s="8"/>
      <c r="J86" s="8"/>
      <c r="K86" s="8"/>
      <c r="L86" s="8"/>
      <c r="M86" s="8"/>
      <c r="N86" s="8"/>
      <c r="O86" s="8"/>
      <c r="P86" s="9">
        <f>IFERROR(IF(ROW()-ROW(Dados143334172246[[#Headers],[Total]])=1,Dados143334172246[[#This Row],[Abril]]+Dados143334172246[[#This Row],[Fevereiro]],SUM(INDEX(Dados143334172246[Fevereiro],1,1):Dados143334172246[[#This Row],[Fevereiro]],INDEX(Dados143334172246[Abril],1,1):Dados143334172246[[#This Row],[Abril]])),"")</f>
        <v>0</v>
      </c>
    </row>
    <row r="87" spans="2:16" ht="30" customHeight="1" x14ac:dyDescent="0.4">
      <c r="B87" s="6" t="s">
        <v>23</v>
      </c>
      <c r="C87" s="6"/>
      <c r="D87" s="7"/>
      <c r="E87" s="8"/>
      <c r="F87" s="7"/>
      <c r="G87" s="8"/>
      <c r="H87" s="8"/>
      <c r="I87" s="8"/>
      <c r="J87" s="8"/>
      <c r="K87" s="8"/>
      <c r="L87" s="8"/>
      <c r="M87" s="8"/>
      <c r="N87" s="8"/>
      <c r="O87" s="8"/>
      <c r="P87" s="9">
        <f>IFERROR(IF(ROW()-ROW(Dados143334172246[[#Headers],[Total]])=1,Dados143334172246[[#This Row],[Abril]]+Dados143334172246[[#This Row],[Fevereiro]],SUM(INDEX(Dados143334172246[Fevereiro],1,1):Dados143334172246[[#This Row],[Fevereiro]],INDEX(Dados143334172246[Abril],1,1):Dados143334172246[[#This Row],[Abril]])),"")</f>
        <v>0</v>
      </c>
    </row>
    <row r="88" spans="2:16" ht="30" customHeight="1" x14ac:dyDescent="0.4">
      <c r="B88" s="6" t="s">
        <v>60</v>
      </c>
      <c r="C88" s="6"/>
      <c r="D88" s="7"/>
      <c r="E88" s="8"/>
      <c r="F88" s="7"/>
      <c r="G88" s="8"/>
      <c r="H88" s="8"/>
      <c r="I88" s="8"/>
      <c r="J88" s="8"/>
      <c r="K88" s="8"/>
      <c r="L88" s="8"/>
      <c r="M88" s="8"/>
      <c r="N88" s="8"/>
      <c r="O88" s="8"/>
      <c r="P88" s="9">
        <f>IFERROR(IF(ROW()-ROW(Dados143334172246[[#Headers],[Total]])=1,Dados143334172246[[#This Row],[Abril]]+Dados143334172246[[#This Row],[Fevereiro]],SUM(INDEX(Dados143334172246[Fevereiro],1,1):Dados143334172246[[#This Row],[Fevereiro]],INDEX(Dados143334172246[Abril],1,1):Dados143334172246[[#This Row],[Abril]])),"")</f>
        <v>0</v>
      </c>
    </row>
    <row r="89" spans="2:16" ht="30" customHeight="1" x14ac:dyDescent="0.4">
      <c r="B89" s="6" t="s">
        <v>17</v>
      </c>
      <c r="C89" s="6"/>
      <c r="D89" s="7"/>
      <c r="E89" s="8"/>
      <c r="F89" s="7"/>
      <c r="G89" s="8"/>
      <c r="H89" s="8"/>
      <c r="I89" s="8"/>
      <c r="J89" s="8"/>
      <c r="K89" s="8"/>
      <c r="L89" s="8"/>
      <c r="M89" s="8"/>
      <c r="N89" s="8"/>
      <c r="O89" s="8"/>
      <c r="P89" s="9">
        <f>IFERROR(IF(ROW()-ROW(Dados143334172246[[#Headers],[Total]])=1,Dados143334172246[[#This Row],[Abril]]+Dados143334172246[[#This Row],[Fevereiro]],SUM(INDEX(Dados143334172246[Fevereiro],1,1):Dados143334172246[[#This Row],[Fevereiro]],INDEX(Dados143334172246[Abril],1,1):Dados143334172246[[#This Row],[Abril]])),"")</f>
        <v>0</v>
      </c>
    </row>
    <row r="90" spans="2:16" ht="30" customHeight="1" x14ac:dyDescent="0.4">
      <c r="B90" s="6" t="s">
        <v>25</v>
      </c>
      <c r="C90" s="6"/>
      <c r="D90" s="7"/>
      <c r="E90" s="8"/>
      <c r="F90" s="7"/>
      <c r="G90" s="8"/>
      <c r="H90" s="8"/>
      <c r="I90" s="8"/>
      <c r="J90" s="8"/>
      <c r="K90" s="8"/>
      <c r="L90" s="8"/>
      <c r="M90" s="8"/>
      <c r="N90" s="8"/>
      <c r="O90" s="8"/>
      <c r="P90" s="9">
        <f>IFERROR(IF(ROW()-ROW(Dados143334172246[[#Headers],[Total]])=1,Dados143334172246[[#This Row],[Abril]]+Dados143334172246[[#This Row],[Fevereiro]],SUM(INDEX(Dados143334172246[Fevereiro],1,1):Dados143334172246[[#This Row],[Fevereiro]],INDEX(Dados143334172246[Abril],1,1):Dados143334172246[[#This Row],[Abril]])),"")</f>
        <v>0</v>
      </c>
    </row>
    <row r="91" spans="2:16" ht="30" customHeight="1" x14ac:dyDescent="0.4">
      <c r="B91" s="6" t="s">
        <v>61</v>
      </c>
      <c r="C91" s="6"/>
      <c r="D91" s="7"/>
      <c r="E91" s="8"/>
      <c r="F91" s="7"/>
      <c r="G91" s="8"/>
      <c r="H91" s="8"/>
      <c r="I91" s="8"/>
      <c r="J91" s="8"/>
      <c r="K91" s="8"/>
      <c r="L91" s="8"/>
      <c r="M91" s="8"/>
      <c r="N91" s="8"/>
      <c r="O91" s="8"/>
      <c r="P91" s="9">
        <f>IFERROR(IF(ROW()-ROW(Dados143334172246[[#Headers],[Total]])=1,Dados143334172246[[#This Row],[Abril]]+Dados143334172246[[#This Row],[Fevereiro]],SUM(INDEX(Dados143334172246[Fevereiro],1,1):Dados143334172246[[#This Row],[Fevereiro]],INDEX(Dados143334172246[Abril],1,1):Dados143334172246[[#This Row],[Abril]])),"")</f>
        <v>0</v>
      </c>
    </row>
    <row r="92" spans="2:16" ht="30" customHeight="1" x14ac:dyDescent="0.4">
      <c r="B92" s="6" t="s">
        <v>78</v>
      </c>
      <c r="C92" s="6"/>
      <c r="D92" s="7"/>
      <c r="E92" s="8"/>
      <c r="F92" s="7"/>
      <c r="G92" s="8"/>
      <c r="H92" s="8"/>
      <c r="I92" s="8"/>
      <c r="J92" s="8"/>
      <c r="K92" s="8"/>
      <c r="L92" s="8"/>
      <c r="M92" s="8"/>
      <c r="N92" s="8"/>
      <c r="O92" s="8"/>
      <c r="P92" s="9">
        <f>IFERROR(IF(ROW()-ROW(Dados143334172246[[#Headers],[Total]])=1,Dados143334172246[[#This Row],[Abril]]+Dados143334172246[[#This Row],[Fevereiro]],SUM(INDEX(Dados143334172246[Fevereiro],1,1):Dados143334172246[[#This Row],[Fevereiro]],INDEX(Dados143334172246[Abril],1,1):Dados143334172246[[#This Row],[Abril]])),"")</f>
        <v>0</v>
      </c>
    </row>
    <row r="93" spans="2:16" ht="30" customHeight="1" x14ac:dyDescent="0.4">
      <c r="B93" s="6" t="s">
        <v>63</v>
      </c>
      <c r="C93" s="6"/>
      <c r="D93" s="7"/>
      <c r="E93" s="8"/>
      <c r="F93" s="7"/>
      <c r="G93" s="8"/>
      <c r="H93" s="8"/>
      <c r="I93" s="8"/>
      <c r="J93" s="8"/>
      <c r="K93" s="8"/>
      <c r="L93" s="8"/>
      <c r="M93" s="8"/>
      <c r="N93" s="8"/>
      <c r="O93" s="8"/>
      <c r="P93" s="9">
        <f>IFERROR(IF(ROW()-ROW(Dados143334172246[[#Headers],[Total]])=1,Dados143334172246[[#This Row],[Abril]]+Dados143334172246[[#This Row],[Fevereiro]],SUM(INDEX(Dados143334172246[Fevereiro],1,1):Dados143334172246[[#This Row],[Fevereiro]],INDEX(Dados143334172246[Abril],1,1):Dados143334172246[[#This Row],[Abril]])),"")</f>
        <v>0</v>
      </c>
    </row>
    <row r="94" spans="2:16" ht="30" customHeight="1" x14ac:dyDescent="0.4">
      <c r="B94" s="6" t="s">
        <v>79</v>
      </c>
      <c r="C94" s="6"/>
      <c r="D94" s="7"/>
      <c r="E94" s="8"/>
      <c r="F94" s="7"/>
      <c r="G94" s="8"/>
      <c r="H94" s="8"/>
      <c r="I94" s="8"/>
      <c r="J94" s="8"/>
      <c r="K94" s="8"/>
      <c r="L94" s="8"/>
      <c r="M94" s="8"/>
      <c r="N94" s="8"/>
      <c r="O94" s="8"/>
      <c r="P94" s="9">
        <f>IFERROR(IF(ROW()-ROW(Dados143334172246[[#Headers],[Total]])=1,Dados143334172246[[#This Row],[Abril]]+Dados143334172246[[#This Row],[Fevereiro]],SUM(INDEX(Dados143334172246[Fevereiro],1,1):Dados143334172246[[#This Row],[Fevereiro]],INDEX(Dados143334172246[Abril],1,1):Dados143334172246[[#This Row],[Abril]])),"")</f>
        <v>0</v>
      </c>
    </row>
    <row r="95" spans="2:16" ht="30" customHeight="1" x14ac:dyDescent="0.4">
      <c r="B95" s="6" t="s">
        <v>80</v>
      </c>
      <c r="C95" s="6"/>
      <c r="D95" s="7"/>
      <c r="E95" s="8"/>
      <c r="F95" s="7"/>
      <c r="G95" s="8"/>
      <c r="H95" s="8"/>
      <c r="I95" s="8"/>
      <c r="J95" s="8"/>
      <c r="K95" s="8"/>
      <c r="L95" s="8"/>
      <c r="M95" s="8"/>
      <c r="N95" s="8"/>
      <c r="O95" s="8"/>
      <c r="P95" s="9">
        <f>IFERROR(IF(ROW()-ROW(Dados143334172246[[#Headers],[Total]])=1,Dados143334172246[[#This Row],[Abril]]+Dados143334172246[[#This Row],[Fevereiro]],SUM(INDEX(Dados143334172246[Fevereiro],1,1):Dados143334172246[[#This Row],[Fevereiro]],INDEX(Dados143334172246[Abril],1,1):Dados143334172246[[#This Row],[Abril]])),"")</f>
        <v>0</v>
      </c>
    </row>
    <row r="96" spans="2:16" ht="30" customHeight="1" x14ac:dyDescent="0.4">
      <c r="B96" s="19" t="s">
        <v>16</v>
      </c>
      <c r="C96" s="19"/>
      <c r="D96" s="17">
        <f>SUBTOTAL(109,Dados143334172246[Janeiro])</f>
        <v>0</v>
      </c>
      <c r="E96" s="17">
        <f>SUBTOTAL(109,Dados143334172246[Fevereiro])</f>
        <v>0</v>
      </c>
      <c r="F96" s="17">
        <f>SUBTOTAL(109,Dados143334172246[Março])</f>
        <v>0</v>
      </c>
      <c r="G96" s="22"/>
      <c r="H96" s="22"/>
      <c r="I96" s="22"/>
      <c r="J96" s="22"/>
      <c r="K96" s="22"/>
      <c r="L96" s="22"/>
      <c r="M96" s="22"/>
      <c r="N96" s="22"/>
      <c r="O96" s="22"/>
      <c r="P96" s="19"/>
    </row>
  </sheetData>
  <dataValidations count="5">
    <dataValidation allowBlank="1" showInputMessage="1" showErrorMessage="1" prompt="O valor do saldo sem juros é calculado automaticamente na coluna sob este cabeçalho" sqref="P3 P19 P67 P35 P51 P83" xr:uid="{00000000-0002-0000-0400-000000000000}"/>
    <dataValidation allowBlank="1" showInputMessage="1" showErrorMessage="1" prompt="Insira a descrição na coluna sob este cabeçalho" sqref="D3:O3 D19:O19 D67:O67 D35:O35 D51:O51 D83:O83" xr:uid="{00000000-0002-0000-0400-000001000000}"/>
    <dataValidation allowBlank="1" showInputMessage="1" showErrorMessage="1" prompt="Insira a data na coluna sob este cabeçalho" sqref="B3:C3 B19:C19 B67:C67 B35:C35 B51:C51 B83:C83" xr:uid="{00000000-0002-0000-0400-000002000000}"/>
    <dataValidation allowBlank="1" showInputMessage="1" showErrorMessage="1" prompt="O título da planilha está nesta célula. Insira o nome do cartão de crédito para atualizar o título" sqref="B1:C1" xr:uid="{00000000-0002-0000-0400-000003000000}"/>
    <dataValidation allowBlank="1" showInputMessage="1" showErrorMessage="1" prompt="Crie um registro do cartão de crédito nesta planilha" sqref="A1" xr:uid="{00000000-0002-0000-0400-000004000000}"/>
  </dataValidations>
  <printOptions horizontalCentered="1"/>
  <pageMargins left="0.40000000000000008" right="0.40000000000000008" top="0.40000000000000008" bottom="0.40000000000000008" header="0.3" footer="0.3"/>
  <pageSetup paperSize="9" scale="56" fitToHeight="0" orientation="landscape"/>
  <headerFooter differentFirst="1">
    <oddFooter>&amp;CPage &amp;P of &amp;N</oddFooter>
  </headerFooter>
  <tableParts count="6">
    <tablePart r:id="rId1"/>
    <tablePart r:id="rId2"/>
    <tablePart r:id="rId3"/>
    <tablePart r:id="rId4"/>
    <tablePart r:id="rId5"/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  <pageSetUpPr fitToPage="1"/>
  </sheetPr>
  <dimension ref="B1:F15"/>
  <sheetViews>
    <sheetView showGridLines="0" zoomScale="90" workbookViewId="0">
      <selection activeCell="D15" sqref="D15:E15"/>
    </sheetView>
  </sheetViews>
  <sheetFormatPr defaultColWidth="8.88671875" defaultRowHeight="30" customHeight="1" x14ac:dyDescent="0.4"/>
  <cols>
    <col min="1" max="1" width="2.6640625" customWidth="1"/>
    <col min="2" max="2" width="29.21875" customWidth="1"/>
    <col min="3" max="3" width="22" bestFit="1" customWidth="1"/>
    <col min="4" max="4" width="9.33203125" bestFit="1" customWidth="1"/>
    <col min="5" max="5" width="12.109375" bestFit="1" customWidth="1"/>
    <col min="6" max="6" width="9.33203125" bestFit="1" customWidth="1"/>
    <col min="7" max="7" width="2.6640625" customWidth="1"/>
  </cols>
  <sheetData>
    <row r="1" spans="2:6" ht="60.75" customHeight="1" x14ac:dyDescent="0.4">
      <c r="B1" s="1" t="s">
        <v>0</v>
      </c>
      <c r="C1" s="1"/>
      <c r="D1" s="1"/>
      <c r="E1" s="1"/>
      <c r="F1" s="1"/>
    </row>
    <row r="2" spans="2:6" ht="45" customHeight="1" x14ac:dyDescent="0.4">
      <c r="B2" s="2" t="s">
        <v>59</v>
      </c>
      <c r="C2" s="2"/>
      <c r="D2" s="3"/>
      <c r="E2" s="3"/>
      <c r="F2" s="3"/>
    </row>
    <row r="3" spans="2:6" ht="54.95" customHeight="1" x14ac:dyDescent="0.4">
      <c r="B3" s="3" t="s">
        <v>2</v>
      </c>
      <c r="C3" s="3" t="s">
        <v>3</v>
      </c>
      <c r="D3" s="4" t="s">
        <v>92</v>
      </c>
      <c r="E3" s="4" t="s">
        <v>93</v>
      </c>
      <c r="F3" s="5" t="s">
        <v>16</v>
      </c>
    </row>
    <row r="4" spans="2:6" ht="30" customHeight="1" x14ac:dyDescent="0.4">
      <c r="B4" s="6" t="s">
        <v>24</v>
      </c>
      <c r="C4" s="6"/>
      <c r="D4" s="7">
        <v>796.63</v>
      </c>
      <c r="E4" s="8">
        <v>667.85</v>
      </c>
      <c r="F4" s="9">
        <f>Dados1437[[#This Row],[2 PARCELA-DEZ]]+Dados1437[[#This Row],[1 PARCELA-NOV]]</f>
        <v>1464.48</v>
      </c>
    </row>
    <row r="5" spans="2:6" ht="30" customHeight="1" x14ac:dyDescent="0.4">
      <c r="B5" s="6" t="s">
        <v>47</v>
      </c>
      <c r="C5" s="6"/>
      <c r="D5" s="7">
        <v>605.96</v>
      </c>
      <c r="E5" s="8">
        <v>648.91999999999996</v>
      </c>
      <c r="F5" s="9">
        <f>Dados1437[[#This Row],[2 PARCELA-DEZ]]+Dados1437[[#This Row],[1 PARCELA-NOV]]</f>
        <v>1254.8800000000001</v>
      </c>
    </row>
    <row r="6" spans="2:6" ht="30" customHeight="1" x14ac:dyDescent="0.4">
      <c r="B6" s="6" t="s">
        <v>21</v>
      </c>
      <c r="C6" s="6"/>
      <c r="D6" s="7">
        <v>772.21</v>
      </c>
      <c r="E6" s="8">
        <v>644.41</v>
      </c>
      <c r="F6" s="9">
        <f>Dados1437[[#This Row],[2 PARCELA-DEZ]]+Dados1437[[#This Row],[1 PARCELA-NOV]]</f>
        <v>1416.62</v>
      </c>
    </row>
    <row r="7" spans="2:6" ht="30" customHeight="1" x14ac:dyDescent="0.4">
      <c r="B7" s="6" t="s">
        <v>60</v>
      </c>
      <c r="C7" s="6"/>
      <c r="D7" s="7">
        <v>0</v>
      </c>
      <c r="E7" s="8">
        <v>0</v>
      </c>
      <c r="F7" s="9">
        <f>Dados1437[[#This Row],[2 PARCELA-DEZ]]+Dados1437[[#This Row],[1 PARCELA-NOV]]</f>
        <v>0</v>
      </c>
    </row>
    <row r="8" spans="2:6" ht="30" customHeight="1" x14ac:dyDescent="0.4">
      <c r="B8" s="6" t="s">
        <v>17</v>
      </c>
      <c r="C8" s="6"/>
      <c r="D8" s="7">
        <v>0</v>
      </c>
      <c r="E8" s="8">
        <v>0</v>
      </c>
      <c r="F8" s="9">
        <f>Dados1437[[#This Row],[2 PARCELA-DEZ]]+Dados1437[[#This Row],[1 PARCELA-NOV]]</f>
        <v>0</v>
      </c>
    </row>
    <row r="9" spans="2:6" ht="30" customHeight="1" x14ac:dyDescent="0.4">
      <c r="B9" s="6" t="s">
        <v>61</v>
      </c>
      <c r="C9" s="6"/>
      <c r="D9" s="7">
        <v>136.25</v>
      </c>
      <c r="E9" s="8">
        <v>199.84</v>
      </c>
      <c r="F9" s="9">
        <f>Dados1437[[#This Row],[2 PARCELA-DEZ]]+Dados1437[[#This Row],[1 PARCELA-NOV]]</f>
        <v>336.09000000000003</v>
      </c>
    </row>
    <row r="10" spans="2:6" ht="30" customHeight="1" x14ac:dyDescent="0.4">
      <c r="B10" s="6" t="s">
        <v>62</v>
      </c>
      <c r="C10" s="6"/>
      <c r="D10" s="7">
        <v>471.89</v>
      </c>
      <c r="E10" s="8">
        <v>397.47</v>
      </c>
      <c r="F10" s="9">
        <f>Dados1437[[#This Row],[2 PARCELA-DEZ]]+Dados1437[[#This Row],[1 PARCELA-NOV]]</f>
        <v>869.36</v>
      </c>
    </row>
    <row r="11" spans="2:6" ht="30" customHeight="1" x14ac:dyDescent="0.4">
      <c r="B11" s="6" t="s">
        <v>63</v>
      </c>
      <c r="C11" s="6"/>
      <c r="D11" s="7">
        <v>136.25</v>
      </c>
      <c r="E11" s="8">
        <v>199.84</v>
      </c>
      <c r="F11" s="9">
        <f>Dados1437[[#This Row],[2 PARCELA-DEZ]]+Dados1437[[#This Row],[1 PARCELA-NOV]]</f>
        <v>336.09000000000003</v>
      </c>
    </row>
    <row r="12" spans="2:6" ht="30" customHeight="1" x14ac:dyDescent="0.4">
      <c r="B12" s="6" t="s">
        <v>64</v>
      </c>
      <c r="C12" s="6"/>
      <c r="D12" s="7">
        <v>494.64</v>
      </c>
      <c r="E12" s="8">
        <v>541.89</v>
      </c>
      <c r="F12" s="9">
        <f>Dados1437[[#This Row],[2 PARCELA-DEZ]]+Dados1437[[#This Row],[1 PARCELA-NOV]]</f>
        <v>1036.53</v>
      </c>
    </row>
    <row r="13" spans="2:6" ht="30" customHeight="1" x14ac:dyDescent="0.4">
      <c r="B13" s="6" t="s">
        <v>65</v>
      </c>
      <c r="C13" s="6"/>
      <c r="D13" s="7">
        <v>566.33000000000004</v>
      </c>
      <c r="E13" s="8">
        <v>475.07</v>
      </c>
      <c r="F13" s="9">
        <f>Dados1437[[#This Row],[2 PARCELA-DEZ]]+Dados1437[[#This Row],[1 PARCELA-NOV]]</f>
        <v>1041.4000000000001</v>
      </c>
    </row>
    <row r="14" spans="2:6" ht="30" customHeight="1" x14ac:dyDescent="0.4">
      <c r="B14" s="6"/>
      <c r="C14" s="6"/>
      <c r="D14" s="7"/>
      <c r="E14" s="7"/>
      <c r="F14" s="9">
        <f>Dados1437[[#This Row],[2 PARCELA-DEZ]]+Dados1437[[#This Row],[1 PARCELA-NOV]]</f>
        <v>0</v>
      </c>
    </row>
    <row r="15" spans="2:6" ht="30" customHeight="1" x14ac:dyDescent="0.4">
      <c r="B15" s="17" t="s">
        <v>16</v>
      </c>
      <c r="C15" s="17"/>
      <c r="D15" s="17">
        <f>SUBTOTAL(109,Dados1437[1 PARCELA-NOV])</f>
        <v>3980.16</v>
      </c>
      <c r="E15" s="17">
        <f>SUBTOTAL(109,Dados1437[2 PARCELA-DEZ])</f>
        <v>3775.29</v>
      </c>
      <c r="F15" s="7">
        <f>Dados1437[[#Totals],[2 PARCELA-DEZ]]+Dados1437[[#Totals],[1 PARCELA-NOV]]</f>
        <v>7755.45</v>
      </c>
    </row>
  </sheetData>
  <dataValidations count="5">
    <dataValidation allowBlank="1" showInputMessage="1" showErrorMessage="1" prompt="Crie um registro do cartão de crédito nesta planilha" sqref="A1" xr:uid="{00000000-0002-0000-0500-000000000000}"/>
    <dataValidation allowBlank="1" showInputMessage="1" showErrorMessage="1" prompt="O título da planilha está nesta célula. Insira o nome do cartão de crédito para atualizar o título" sqref="B1:C1" xr:uid="{00000000-0002-0000-0500-000001000000}"/>
    <dataValidation allowBlank="1" showInputMessage="1" showErrorMessage="1" prompt="Insira a data na coluna sob este cabeçalho" sqref="B3:C3" xr:uid="{00000000-0002-0000-0500-000002000000}"/>
    <dataValidation allowBlank="1" showInputMessage="1" showErrorMessage="1" prompt="Insira a descrição na coluna sob este cabeçalho" sqref="D3:E3" xr:uid="{00000000-0002-0000-0500-000003000000}"/>
    <dataValidation allowBlank="1" showInputMessage="1" showErrorMessage="1" prompt="O valor do saldo sem juros é calculado automaticamente na coluna sob este cabeçalho" sqref="F3" xr:uid="{00000000-0002-0000-0500-000004000000}"/>
  </dataValidations>
  <printOptions horizontalCentered="1"/>
  <pageMargins left="0.40000000000000008" right="0.40000000000000008" top="0.40000000000000008" bottom="0.40000000000000008" header="0.3" footer="0.3"/>
  <pageSetup paperSize="9" fitToHeight="0" orientation="landscape"/>
  <headerFooter differentFirst="1">
    <oddFooter>&amp;CPage &amp;P of &amp;N</oddFooter>
  </headerFooter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/>
    <pageSetUpPr fitToPage="1"/>
  </sheetPr>
  <dimension ref="B1:F15"/>
  <sheetViews>
    <sheetView showGridLines="0" zoomScale="90" workbookViewId="0">
      <selection activeCell="D15" sqref="D15:E15"/>
    </sheetView>
  </sheetViews>
  <sheetFormatPr defaultColWidth="8.88671875" defaultRowHeight="30" customHeight="1" x14ac:dyDescent="0.4"/>
  <cols>
    <col min="1" max="1" width="2.6640625" customWidth="1"/>
    <col min="2" max="2" width="29.21875" customWidth="1"/>
    <col min="3" max="3" width="22" bestFit="1" customWidth="1"/>
    <col min="4" max="4" width="9.33203125" bestFit="1" customWidth="1"/>
    <col min="5" max="5" width="12.109375" bestFit="1" customWidth="1"/>
    <col min="6" max="6" width="10.21875" bestFit="1" customWidth="1"/>
    <col min="7" max="7" width="2.6640625" customWidth="1"/>
  </cols>
  <sheetData>
    <row r="1" spans="2:6" ht="60.75" customHeight="1" x14ac:dyDescent="0.4">
      <c r="B1" s="1" t="s">
        <v>0</v>
      </c>
      <c r="C1" s="1"/>
      <c r="D1" s="1"/>
      <c r="E1" s="1"/>
      <c r="F1" s="1"/>
    </row>
    <row r="2" spans="2:6" ht="45" customHeight="1" x14ac:dyDescent="0.4">
      <c r="B2" s="2" t="s">
        <v>77</v>
      </c>
      <c r="C2" s="2"/>
      <c r="D2" s="3"/>
      <c r="E2" s="3"/>
      <c r="F2" s="3"/>
    </row>
    <row r="3" spans="2:6" ht="54.95" customHeight="1" x14ac:dyDescent="0.4">
      <c r="B3" s="3" t="s">
        <v>2</v>
      </c>
      <c r="C3" s="3" t="s">
        <v>3</v>
      </c>
      <c r="D3" s="4" t="s">
        <v>92</v>
      </c>
      <c r="E3" s="4" t="s">
        <v>93</v>
      </c>
      <c r="F3" s="5" t="s">
        <v>16</v>
      </c>
    </row>
    <row r="4" spans="2:6" ht="30" customHeight="1" x14ac:dyDescent="0.4">
      <c r="B4" s="6" t="s">
        <v>24</v>
      </c>
      <c r="C4" s="6"/>
      <c r="D4" s="7">
        <v>1063.23</v>
      </c>
      <c r="E4" s="8">
        <v>1063.23</v>
      </c>
      <c r="F4" s="9">
        <f>Dados143742[[#This Row],[2 PARCELA-DEZ]]+Dados143742[[#This Row],[1 PARCELA-NOV]]</f>
        <v>2126.46</v>
      </c>
    </row>
    <row r="5" spans="2:6" ht="30" customHeight="1" x14ac:dyDescent="0.4">
      <c r="B5" s="6" t="s">
        <v>47</v>
      </c>
      <c r="C5" s="6"/>
      <c r="D5" s="7">
        <v>936.5</v>
      </c>
      <c r="E5" s="8">
        <v>782.86</v>
      </c>
      <c r="F5" s="9">
        <f>Dados143742[[#This Row],[2 PARCELA-DEZ]]+Dados143742[[#This Row],[1 PARCELA-NOV]]</f>
        <v>1719.3600000000001</v>
      </c>
    </row>
    <row r="6" spans="2:6" ht="30" customHeight="1" x14ac:dyDescent="0.4">
      <c r="B6" s="6" t="s">
        <v>21</v>
      </c>
      <c r="C6" s="6"/>
      <c r="D6" s="7">
        <v>959.52</v>
      </c>
      <c r="E6" s="8">
        <v>809.83</v>
      </c>
      <c r="F6" s="9">
        <f>Dados143742[[#This Row],[2 PARCELA-DEZ]]+Dados143742[[#This Row],[1 PARCELA-NOV]]</f>
        <v>1769.35</v>
      </c>
    </row>
    <row r="7" spans="2:6" ht="30" customHeight="1" x14ac:dyDescent="0.4">
      <c r="B7" s="6" t="s">
        <v>60</v>
      </c>
      <c r="C7" s="6"/>
      <c r="D7" s="7">
        <v>587.07000000000005</v>
      </c>
      <c r="E7" s="8">
        <v>603.65</v>
      </c>
      <c r="F7" s="9">
        <f>Dados143742[[#This Row],[2 PARCELA-DEZ]]+Dados143742[[#This Row],[1 PARCELA-NOV]]</f>
        <v>1190.72</v>
      </c>
    </row>
    <row r="8" spans="2:6" ht="30" customHeight="1" x14ac:dyDescent="0.4">
      <c r="B8" s="6" t="s">
        <v>17</v>
      </c>
      <c r="C8" s="6"/>
      <c r="D8" s="7">
        <v>631.44000000000005</v>
      </c>
      <c r="E8" s="8">
        <v>648.23</v>
      </c>
      <c r="F8" s="9">
        <f>Dados143742[[#This Row],[2 PARCELA-DEZ]]+Dados143742[[#This Row],[1 PARCELA-NOV]]</f>
        <v>1279.67</v>
      </c>
    </row>
    <row r="9" spans="2:6" ht="30" customHeight="1" x14ac:dyDescent="0.4">
      <c r="B9" s="6" t="s">
        <v>61</v>
      </c>
      <c r="C9" s="6"/>
      <c r="D9" s="7">
        <v>702.83</v>
      </c>
      <c r="E9" s="8">
        <v>697.82</v>
      </c>
      <c r="F9" s="9">
        <f>Dados143742[[#This Row],[2 PARCELA-DEZ]]+Dados143742[[#This Row],[1 PARCELA-NOV]]</f>
        <v>1400.65</v>
      </c>
    </row>
    <row r="10" spans="2:6" ht="30" customHeight="1" x14ac:dyDescent="0.4">
      <c r="B10" s="6" t="s">
        <v>62</v>
      </c>
      <c r="C10" s="6"/>
      <c r="D10" s="7">
        <v>706.43</v>
      </c>
      <c r="E10" s="8">
        <v>697.82</v>
      </c>
      <c r="F10" s="9">
        <f>Dados143742[[#This Row],[2 PARCELA-DEZ]]+Dados143742[[#This Row],[1 PARCELA-NOV]]</f>
        <v>1404.25</v>
      </c>
    </row>
    <row r="11" spans="2:6" ht="30" customHeight="1" x14ac:dyDescent="0.4">
      <c r="B11" s="6" t="s">
        <v>63</v>
      </c>
      <c r="C11" s="6"/>
      <c r="D11" s="7">
        <v>563.13</v>
      </c>
      <c r="E11" s="8">
        <v>478.14</v>
      </c>
      <c r="F11" s="9">
        <f>Dados143742[[#This Row],[2 PARCELA-DEZ]]+Dados143742[[#This Row],[1 PARCELA-NOV]]</f>
        <v>1041.27</v>
      </c>
    </row>
    <row r="12" spans="2:6" ht="30" customHeight="1" x14ac:dyDescent="0.4">
      <c r="B12" s="6" t="s">
        <v>79</v>
      </c>
      <c r="C12" s="6"/>
      <c r="D12" s="7">
        <v>268.23</v>
      </c>
      <c r="E12" s="8">
        <v>351.52</v>
      </c>
      <c r="F12" s="9">
        <f>Dados143742[[#This Row],[2 PARCELA-DEZ]]+Dados143742[[#This Row],[1 PARCELA-NOV]]</f>
        <v>619.75</v>
      </c>
    </row>
    <row r="13" spans="2:6" ht="30" customHeight="1" x14ac:dyDescent="0.4">
      <c r="B13" s="6" t="s">
        <v>23</v>
      </c>
      <c r="C13" s="6"/>
      <c r="D13" s="7">
        <v>714.87</v>
      </c>
      <c r="E13" s="8">
        <v>740.91</v>
      </c>
      <c r="F13" s="9">
        <f>Dados143742[[#This Row],[2 PARCELA-DEZ]]+Dados143742[[#This Row],[1 PARCELA-NOV]]</f>
        <v>1455.78</v>
      </c>
    </row>
    <row r="14" spans="2:6" ht="30" customHeight="1" x14ac:dyDescent="0.4">
      <c r="B14" s="6" t="s">
        <v>25</v>
      </c>
      <c r="C14" s="6"/>
      <c r="D14" s="7">
        <v>584.57000000000005</v>
      </c>
      <c r="E14" s="7">
        <v>602</v>
      </c>
      <c r="F14" s="9">
        <f>Dados143742[[#This Row],[2 PARCELA-DEZ]]+Dados143742[[#This Row],[1 PARCELA-NOV]]</f>
        <v>1186.5700000000002</v>
      </c>
    </row>
    <row r="15" spans="2:6" ht="30" customHeight="1" x14ac:dyDescent="0.4">
      <c r="B15" s="17" t="s">
        <v>16</v>
      </c>
      <c r="C15" s="17"/>
      <c r="D15" s="17">
        <f>SUBTOTAL(109,Dados143742[1 PARCELA-NOV])</f>
        <v>7717.8200000000006</v>
      </c>
      <c r="E15" s="17">
        <f>SUBTOTAL(109,Dados143742[2 PARCELA-DEZ])</f>
        <v>7476.01</v>
      </c>
      <c r="F15" s="7">
        <f>Dados143742[[#Totals],[2 PARCELA-DEZ]]+Dados143742[[#Totals],[1 PARCELA-NOV]]</f>
        <v>15193.830000000002</v>
      </c>
    </row>
  </sheetData>
  <dataValidations count="5">
    <dataValidation allowBlank="1" showInputMessage="1" showErrorMessage="1" prompt="O valor do saldo sem juros é calculado automaticamente na coluna sob este cabeçalho" sqref="F3" xr:uid="{00000000-0002-0000-0600-000000000000}"/>
    <dataValidation allowBlank="1" showInputMessage="1" showErrorMessage="1" prompt="Insira a descrição na coluna sob este cabeçalho" sqref="D3:E3" xr:uid="{00000000-0002-0000-0600-000001000000}"/>
    <dataValidation allowBlank="1" showInputMessage="1" showErrorMessage="1" prompt="Insira a data na coluna sob este cabeçalho" sqref="B3:C3" xr:uid="{00000000-0002-0000-0600-000002000000}"/>
    <dataValidation allowBlank="1" showInputMessage="1" showErrorMessage="1" prompt="O título da planilha está nesta célula. Insira o nome do cartão de crédito para atualizar o título" sqref="B1:C1" xr:uid="{00000000-0002-0000-0600-000003000000}"/>
    <dataValidation allowBlank="1" showInputMessage="1" showErrorMessage="1" prompt="Crie um registro do cartão de crédito nesta planilha" sqref="A1" xr:uid="{00000000-0002-0000-0600-000004000000}"/>
  </dataValidations>
  <printOptions horizontalCentered="1"/>
  <pageMargins left="0.40000000000000008" right="0.40000000000000008" top="0.40000000000000008" bottom="0.40000000000000008" header="0.3" footer="0.3"/>
  <pageSetup paperSize="9" fitToHeight="0" orientation="landscape"/>
  <headerFooter differentFirst="1">
    <oddFooter>&amp;CPage &amp;P of &amp;N</oddFooter>
  </headerFooter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/>
    <pageSetUpPr fitToPage="1"/>
  </sheetPr>
  <dimension ref="B1:Q15"/>
  <sheetViews>
    <sheetView showGridLines="0" zoomScale="90" workbookViewId="0">
      <selection activeCell="C1" sqref="C1"/>
    </sheetView>
  </sheetViews>
  <sheetFormatPr defaultColWidth="8.88671875" defaultRowHeight="30" customHeight="1" x14ac:dyDescent="0.4"/>
  <cols>
    <col min="1" max="1" width="2.6640625" customWidth="1"/>
    <col min="2" max="2" width="29.21875" customWidth="1"/>
    <col min="3" max="3" width="22" bestFit="1" customWidth="1"/>
    <col min="4" max="4" width="11.77734375" customWidth="1"/>
    <col min="5" max="15" width="12.109375" bestFit="1" customWidth="1"/>
    <col min="16" max="16" width="17.6640625" hidden="1" customWidth="1"/>
    <col min="17" max="17" width="6.33203125" bestFit="1" customWidth="1"/>
  </cols>
  <sheetData>
    <row r="1" spans="2:17" ht="60.75" customHeight="1" x14ac:dyDescent="0.4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2:17" ht="45" customHeight="1" x14ac:dyDescent="0.4">
      <c r="B2" s="2" t="s">
        <v>94</v>
      </c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7" ht="54.95" customHeight="1" x14ac:dyDescent="0.4">
      <c r="B3" s="3" t="s">
        <v>2</v>
      </c>
      <c r="C3" s="3" t="s">
        <v>3</v>
      </c>
      <c r="D3" s="3" t="s">
        <v>95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5" t="s">
        <v>16</v>
      </c>
    </row>
    <row r="4" spans="2:17" ht="30" customHeight="1" x14ac:dyDescent="0.4">
      <c r="B4" s="6" t="s">
        <v>24</v>
      </c>
      <c r="C4" s="6">
        <v>42891</v>
      </c>
      <c r="D4" s="6">
        <v>44368</v>
      </c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9">
        <f>IFERROR(IF(ROW()-ROW(Dados14152047[[#Headers],[Total]])=1,Dados14152047[[#This Row],[Abril]]+Dados14152047[[#This Row],[Fevereiro]],SUM(INDEX(Dados14152047[Fevereiro],1,1):Dados14152047[[#This Row],[Fevereiro]],INDEX(Dados14152047[Abril],1,1):Dados14152047[[#This Row],[Abril]])), "")</f>
        <v>0</v>
      </c>
    </row>
    <row r="5" spans="2:17" ht="30" customHeight="1" x14ac:dyDescent="0.4">
      <c r="B5" s="6" t="s">
        <v>24</v>
      </c>
      <c r="C5" s="6">
        <v>44564</v>
      </c>
      <c r="D5" s="6"/>
      <c r="E5" s="7"/>
      <c r="F5" s="8"/>
      <c r="G5" s="7"/>
      <c r="H5" s="8"/>
      <c r="I5" s="8"/>
      <c r="J5" s="8"/>
      <c r="K5" s="8"/>
      <c r="L5" s="8"/>
      <c r="M5" s="8"/>
      <c r="N5" s="8"/>
      <c r="O5" s="8"/>
      <c r="P5" s="8"/>
      <c r="Q5" s="9">
        <f>IFERROR(IF(ROW()-ROW(Dados14152047[[#Headers],[Total]])=1,Dados14152047[[#This Row],[Abril]]+Dados14152047[[#This Row],[Fevereiro]],SUM(INDEX(Dados14152047[Fevereiro],1,1):Dados14152047[[#This Row],[Fevereiro]],INDEX(Dados14152047[Abril],1,1):Dados14152047[[#This Row],[Abril]])),"")</f>
        <v>0</v>
      </c>
    </row>
    <row r="6" spans="2:17" ht="30" customHeight="1" x14ac:dyDescent="0.4">
      <c r="B6" s="6" t="s">
        <v>47</v>
      </c>
      <c r="C6" s="6">
        <v>42857</v>
      </c>
      <c r="D6" s="6">
        <v>43658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9">
        <f>IFERROR(IF(ROW()-ROW(Dados14152047[[#Headers],[Total]])=1,Dados14152047[[#This Row],[Abril]]+Dados14152047[[#This Row],[Fevereiro]],SUM(INDEX(Dados14152047[Fevereiro],1,1):Dados14152047[[#This Row],[Fevereiro]],INDEX(Dados14152047[Abril],1,1):Dados14152047[[#This Row],[Abril]])),"")</f>
        <v>0</v>
      </c>
    </row>
    <row r="7" spans="2:17" ht="30" customHeight="1" x14ac:dyDescent="0.4">
      <c r="B7" s="6" t="s">
        <v>21</v>
      </c>
      <c r="C7" s="6">
        <v>43710</v>
      </c>
      <c r="D7" s="6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9">
        <f>IFERROR(IF(ROW()-ROW(Dados14152047[[#Headers],[Total]])=1,Dados14152047[[#This Row],[Abril]]+Dados14152047[[#This Row],[Fevereiro]],SUM(INDEX(Dados14152047[Fevereiro],1,1):Dados14152047[[#This Row],[Fevereiro]],INDEX(Dados14152047[Abril],1,1):Dados14152047[[#This Row],[Abril]])),"")</f>
        <v>0</v>
      </c>
    </row>
    <row r="8" spans="2:17" ht="30" customHeight="1" x14ac:dyDescent="0.4">
      <c r="B8" s="6" t="s">
        <v>23</v>
      </c>
      <c r="C8" s="6">
        <v>44228</v>
      </c>
      <c r="D8" s="6"/>
      <c r="E8" s="7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9">
        <f>IFERROR(IF(ROW()-ROW(Dados14152047[[#Headers],[Total]])=1,Dados14152047[[#This Row],[Abril]]+Dados14152047[[#This Row],[Fevereiro]],SUM(INDEX(Dados14152047[Fevereiro],1,1):Dados14152047[[#This Row],[Fevereiro]],INDEX(Dados14152047[Abril],1,1):Dados14152047[[#This Row],[Abril]])),"")</f>
        <v>0</v>
      </c>
    </row>
    <row r="9" spans="2:17" ht="30" customHeight="1" x14ac:dyDescent="0.4">
      <c r="B9" s="6" t="s">
        <v>60</v>
      </c>
      <c r="C9" s="6">
        <v>44228</v>
      </c>
      <c r="D9" s="6"/>
      <c r="E9" s="7"/>
      <c r="F9" s="8"/>
      <c r="G9" s="7"/>
      <c r="H9" s="8"/>
      <c r="I9" s="8"/>
      <c r="J9" s="8"/>
      <c r="K9" s="8"/>
      <c r="L9" s="8"/>
      <c r="M9" s="8"/>
      <c r="N9" s="8"/>
      <c r="O9" s="8"/>
      <c r="P9" s="8"/>
      <c r="Q9" s="9">
        <f>IFERROR(IF(ROW()-ROW(Dados14152047[[#Headers],[Total]])=1,Dados14152047[[#This Row],[Abril]]+Dados14152047[[#This Row],[Fevereiro]],SUM(INDEX(Dados14152047[Fevereiro],1,1):Dados14152047[[#This Row],[Fevereiro]],INDEX(Dados14152047[Abril],1,1):Dados14152047[[#This Row],[Abril]])),"")</f>
        <v>0</v>
      </c>
    </row>
    <row r="10" spans="2:17" ht="30" customHeight="1" x14ac:dyDescent="0.4">
      <c r="B10" s="6" t="s">
        <v>17</v>
      </c>
      <c r="C10" s="6">
        <v>44228</v>
      </c>
      <c r="D10" s="6"/>
      <c r="E10" s="7"/>
      <c r="F10" s="7"/>
      <c r="G10" s="7"/>
      <c r="H10" s="8"/>
      <c r="I10" s="8"/>
      <c r="J10" s="8"/>
      <c r="K10" s="8"/>
      <c r="L10" s="8"/>
      <c r="M10" s="8"/>
      <c r="N10" s="8"/>
      <c r="O10" s="8"/>
      <c r="P10" s="8"/>
      <c r="Q10" s="9">
        <f>IFERROR(IF(ROW()-ROW(Dados14152047[[#Headers],[Total]])=1,Dados14152047[[#This Row],[Abril]]+Dados14152047[[#This Row],[Fevereiro]],SUM(INDEX(Dados14152047[Fevereiro],1,1):Dados14152047[[#This Row],[Fevereiro]],INDEX(Dados14152047[Abril],1,1):Dados14152047[[#This Row],[Abril]])),"")</f>
        <v>0</v>
      </c>
    </row>
    <row r="11" spans="2:17" ht="30" customHeight="1" x14ac:dyDescent="0.4">
      <c r="B11" s="6" t="s">
        <v>25</v>
      </c>
      <c r="C11" s="6">
        <v>44230</v>
      </c>
      <c r="D11" s="6">
        <v>44634</v>
      </c>
      <c r="E11" s="7"/>
      <c r="F11" s="8"/>
      <c r="G11" s="7"/>
      <c r="H11" s="8"/>
      <c r="I11" s="8"/>
      <c r="J11" s="8"/>
      <c r="K11" s="8"/>
      <c r="L11" s="8"/>
      <c r="M11" s="8"/>
      <c r="N11" s="8"/>
      <c r="O11" s="8"/>
      <c r="P11" s="8"/>
      <c r="Q11" s="9">
        <f>IFERROR(IF(ROW()-ROW(Dados14152047[[#Headers],[Total]])=1,Dados14152047[[#This Row],[Abril]]+Dados14152047[[#This Row],[Fevereiro]],SUM(INDEX(Dados14152047[Fevereiro],1,1):Dados14152047[[#This Row],[Fevereiro]],INDEX(Dados14152047[Abril],1,1):Dados14152047[[#This Row],[Abril]])),"")</f>
        <v>0</v>
      </c>
    </row>
    <row r="12" spans="2:17" ht="30" customHeight="1" x14ac:dyDescent="0.4">
      <c r="B12" s="6" t="s">
        <v>61</v>
      </c>
      <c r="C12" s="6">
        <v>44075</v>
      </c>
      <c r="D12" s="6">
        <v>44521</v>
      </c>
      <c r="E12" s="7"/>
      <c r="F12" s="8"/>
      <c r="G12" s="7"/>
      <c r="H12" s="8"/>
      <c r="I12" s="8"/>
      <c r="J12" s="8"/>
      <c r="K12" s="8"/>
      <c r="L12" s="8"/>
      <c r="M12" s="8"/>
      <c r="N12" s="8"/>
      <c r="O12" s="8"/>
      <c r="P12" s="8"/>
      <c r="Q12" s="9">
        <f>IFERROR(IF(ROW()-ROW(Dados14152047[[#Headers],[Total]])=1,Dados14152047[[#This Row],[Abril]]+Dados14152047[[#This Row],[Fevereiro]],SUM(INDEX(Dados14152047[Fevereiro],1,1):Dados14152047[[#This Row],[Fevereiro]],INDEX(Dados14152047[Abril],1,1):Dados14152047[[#This Row],[Abril]])),"")</f>
        <v>0</v>
      </c>
    </row>
    <row r="13" spans="2:17" ht="30" customHeight="1" x14ac:dyDescent="0.4">
      <c r="B13" s="6" t="s">
        <v>78</v>
      </c>
      <c r="C13" s="6">
        <v>43472</v>
      </c>
      <c r="D13" s="6">
        <v>44521</v>
      </c>
      <c r="E13" s="7"/>
      <c r="F13" s="8"/>
      <c r="G13" s="7"/>
      <c r="H13" s="8"/>
      <c r="I13" s="8"/>
      <c r="J13" s="8"/>
      <c r="K13" s="8"/>
      <c r="L13" s="8"/>
      <c r="M13" s="8"/>
      <c r="N13" s="8"/>
      <c r="O13" s="8"/>
      <c r="P13" s="8"/>
      <c r="Q13" s="9">
        <f>IFERROR(IF(ROW()-ROW(Dados14152047[[#Headers],[Total]])=1,Dados14152047[[#This Row],[Abril]]+Dados14152047[[#This Row],[Fevereiro]],SUM(INDEX(Dados14152047[Fevereiro],1,1):Dados14152047[[#This Row],[Fevereiro]],INDEX(Dados14152047[Abril],1,1):Dados14152047[[#This Row],[Abril]])),"")</f>
        <v>0</v>
      </c>
    </row>
    <row r="14" spans="2:17" ht="30" customHeight="1" x14ac:dyDescent="0.4">
      <c r="B14" s="19" t="s">
        <v>16</v>
      </c>
      <c r="C14" s="19"/>
      <c r="D14" s="19"/>
      <c r="E14" s="17">
        <f>SUBTOTAL(109,Dados14152047[Janeiro])</f>
        <v>0</v>
      </c>
      <c r="F14" s="17">
        <f>SUBTOTAL(109,Dados14152047[Fevereiro])</f>
        <v>0</v>
      </c>
      <c r="G14" s="17">
        <f>SUBTOTAL(109,Dados14152047[Março])</f>
        <v>0</v>
      </c>
      <c r="H14" s="17">
        <f>SUBTOTAL(109,Dados14152047[Abril])</f>
        <v>0</v>
      </c>
      <c r="I14" s="17">
        <f>SUBTOTAL(109,Dados14152047[Maio])</f>
        <v>0</v>
      </c>
      <c r="J14" s="17">
        <f>SUBTOTAL(109,Dados14152047[Junho])</f>
        <v>0</v>
      </c>
      <c r="K14" s="17">
        <f>SUBTOTAL(109,Dados14152047[Julho])</f>
        <v>0</v>
      </c>
      <c r="L14" s="17">
        <f>SUBTOTAL(109,Dados14152047[Agosto])</f>
        <v>0</v>
      </c>
      <c r="M14" s="17">
        <f>SUBTOTAL(109,Dados14152047[Setembro])</f>
        <v>0</v>
      </c>
      <c r="N14" s="17">
        <f>SUBTOTAL(109,Dados14152047[Outubro])</f>
        <v>0</v>
      </c>
      <c r="O14" s="17">
        <f>SUBTOTAL(109,Dados14152047[Novembro])</f>
        <v>0</v>
      </c>
      <c r="P14" s="17">
        <f>SUBTOTAL(109,Dados14152047[Dezembro])</f>
        <v>0</v>
      </c>
      <c r="Q14" s="3"/>
    </row>
    <row r="15" spans="2:17" ht="30" customHeight="1" x14ac:dyDescent="0.4">
      <c r="B15" s="3"/>
      <c r="C15" s="3"/>
      <c r="D15" s="3"/>
      <c r="E15" s="10"/>
      <c r="F15" s="3"/>
      <c r="G15" s="10"/>
      <c r="H15" s="10"/>
      <c r="I15" s="10"/>
      <c r="J15" s="10"/>
      <c r="K15" s="10"/>
      <c r="L15" s="10"/>
      <c r="M15" s="10"/>
      <c r="N15" s="10"/>
      <c r="O15" s="10"/>
      <c r="P15" s="3"/>
    </row>
  </sheetData>
  <dataValidations count="5">
    <dataValidation allowBlank="1" showInputMessage="1" showErrorMessage="1" prompt="Crie um registro do cartão de crédito nesta planilha" sqref="A1" xr:uid="{00000000-0002-0000-0700-000000000000}"/>
    <dataValidation allowBlank="1" showInputMessage="1" showErrorMessage="1" prompt="O título da planilha está nesta célula. Insira o nome do cartão de crédito para atualizar o título" sqref="B1:C1" xr:uid="{00000000-0002-0000-0700-000001000000}"/>
    <dataValidation allowBlank="1" showInputMessage="1" showErrorMessage="1" prompt="Insira a data na coluna sob este cabeçalho" sqref="B3:D3" xr:uid="{00000000-0002-0000-0700-000002000000}"/>
    <dataValidation allowBlank="1" showInputMessage="1" showErrorMessage="1" prompt="Insira a descrição na coluna sob este cabeçalho" sqref="E3:P3" xr:uid="{00000000-0002-0000-0700-000003000000}"/>
    <dataValidation allowBlank="1" showInputMessage="1" showErrorMessage="1" prompt="O valor do saldo sem juros é calculado automaticamente na coluna sob este cabeçalho" sqref="Q3" xr:uid="{00000000-0002-0000-0700-000004000000}"/>
  </dataValidations>
  <printOptions horizontalCentered="1"/>
  <pageMargins left="0.40000000000000008" right="0.40000000000000008" top="0.40000000000000008" bottom="0.40000000000000008" header="0.3" footer="0.3"/>
  <pageSetup paperSize="9" scale="55" fitToHeight="0" orientation="landscape"/>
  <headerFooter differentFirst="1">
    <oddFooter>&amp;CPage &amp;P of &amp;N</oddFooter>
  </headerFooter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/>
  </sheetPr>
  <dimension ref="B1:N219"/>
  <sheetViews>
    <sheetView topLeftCell="A196" zoomScale="110" workbookViewId="0">
      <selection activeCell="B202" sqref="B202:F202"/>
    </sheetView>
  </sheetViews>
  <sheetFormatPr defaultColWidth="8.88671875" defaultRowHeight="18.75" x14ac:dyDescent="0.4"/>
  <cols>
    <col min="1" max="1" width="2.21875" customWidth="1"/>
    <col min="2" max="2" width="17.6640625" customWidth="1"/>
    <col min="5" max="5" width="8.109375" customWidth="1"/>
    <col min="6" max="6" width="14.33203125" customWidth="1"/>
    <col min="7" max="7" width="1.6640625" customWidth="1"/>
    <col min="8" max="8" width="2.21875" customWidth="1"/>
    <col min="9" max="9" width="17.6640625" customWidth="1"/>
    <col min="13" max="13" width="14" customWidth="1"/>
    <col min="14" max="14" width="1.6640625" customWidth="1"/>
  </cols>
  <sheetData>
    <row r="1" spans="2:14" ht="43.5" customHeight="1" x14ac:dyDescent="0.4">
      <c r="B1" s="102" t="s">
        <v>96</v>
      </c>
      <c r="C1" s="102"/>
      <c r="D1" s="102"/>
      <c r="E1" s="102"/>
      <c r="F1" s="102"/>
      <c r="I1" s="102" t="s">
        <v>96</v>
      </c>
      <c r="J1" s="102"/>
      <c r="K1" s="102"/>
      <c r="L1" s="102"/>
      <c r="M1" s="102"/>
    </row>
    <row r="2" spans="2:14" ht="21" customHeight="1" x14ac:dyDescent="0.4">
      <c r="B2" s="110" t="s">
        <v>97</v>
      </c>
      <c r="C2" s="110"/>
      <c r="D2" s="110"/>
      <c r="E2" s="110"/>
      <c r="F2" s="110"/>
      <c r="G2" s="24"/>
      <c r="I2" s="110" t="s">
        <v>97</v>
      </c>
      <c r="J2" s="110"/>
      <c r="K2" s="110"/>
      <c r="L2" s="110"/>
      <c r="M2" s="110"/>
      <c r="N2" s="24"/>
    </row>
    <row r="3" spans="2:14" ht="21" customHeight="1" x14ac:dyDescent="0.4">
      <c r="B3" s="110" t="s">
        <v>98</v>
      </c>
      <c r="C3" s="110"/>
      <c r="D3" s="110"/>
      <c r="E3" s="110"/>
      <c r="F3" s="110"/>
      <c r="G3" s="24"/>
      <c r="I3" s="110" t="s">
        <v>98</v>
      </c>
      <c r="J3" s="110"/>
      <c r="K3" s="110"/>
      <c r="L3" s="110"/>
      <c r="M3" s="110"/>
      <c r="N3" s="24"/>
    </row>
    <row r="4" spans="2:14" ht="21" customHeight="1" x14ac:dyDescent="0.4">
      <c r="B4" s="110" t="s">
        <v>99</v>
      </c>
      <c r="C4" s="110"/>
      <c r="D4" s="110"/>
      <c r="E4" s="110"/>
      <c r="F4" s="110"/>
      <c r="G4" s="24"/>
      <c r="I4" s="110" t="s">
        <v>99</v>
      </c>
      <c r="J4" s="110"/>
      <c r="K4" s="110"/>
      <c r="L4" s="110"/>
      <c r="M4" s="110"/>
      <c r="N4" s="24"/>
    </row>
    <row r="5" spans="2:14" ht="18" customHeight="1" x14ac:dyDescent="0.4">
      <c r="B5" s="114" t="s">
        <v>100</v>
      </c>
      <c r="C5" s="115"/>
      <c r="D5" s="115"/>
      <c r="E5" s="115"/>
      <c r="F5" s="116"/>
      <c r="I5" s="114" t="s">
        <v>100</v>
      </c>
      <c r="J5" s="115"/>
      <c r="K5" s="115"/>
      <c r="L5" s="115"/>
      <c r="M5" s="116"/>
    </row>
    <row r="6" spans="2:14" ht="18" customHeight="1" x14ac:dyDescent="0.4">
      <c r="B6" s="111" t="s">
        <v>101</v>
      </c>
      <c r="C6" s="112"/>
      <c r="D6" s="112"/>
      <c r="E6" s="112"/>
      <c r="F6" s="113"/>
      <c r="I6" s="111" t="s">
        <v>101</v>
      </c>
      <c r="J6" s="112"/>
      <c r="K6" s="112"/>
      <c r="L6" s="112"/>
      <c r="M6" s="113"/>
    </row>
    <row r="7" spans="2:14" x14ac:dyDescent="0.4">
      <c r="B7" s="97" t="s">
        <v>102</v>
      </c>
      <c r="C7" s="98"/>
      <c r="D7" s="98"/>
      <c r="E7" s="98"/>
      <c r="F7" s="26">
        <v>2121.12</v>
      </c>
      <c r="I7" s="97" t="s">
        <v>102</v>
      </c>
      <c r="J7" s="98"/>
      <c r="K7" s="98"/>
      <c r="L7" s="98"/>
      <c r="M7" s="26">
        <v>2121.12</v>
      </c>
    </row>
    <row r="8" spans="2:14" x14ac:dyDescent="0.4">
      <c r="B8" s="97" t="s">
        <v>103</v>
      </c>
      <c r="C8" s="98"/>
      <c r="D8" s="98"/>
      <c r="E8" s="98"/>
      <c r="F8" s="26">
        <v>878.88</v>
      </c>
      <c r="I8" s="97" t="s">
        <v>103</v>
      </c>
      <c r="J8" s="98"/>
      <c r="K8" s="98"/>
      <c r="L8" s="98"/>
      <c r="M8" s="26">
        <v>878.88</v>
      </c>
    </row>
    <row r="9" spans="2:14" x14ac:dyDescent="0.4">
      <c r="B9" s="97" t="s">
        <v>104</v>
      </c>
      <c r="C9" s="98"/>
      <c r="D9" s="98"/>
      <c r="E9" s="98"/>
      <c r="F9" s="26">
        <v>200</v>
      </c>
      <c r="I9" s="97" t="s">
        <v>104</v>
      </c>
      <c r="J9" s="98"/>
      <c r="K9" s="98"/>
      <c r="L9" s="98"/>
      <c r="M9" s="26">
        <v>200</v>
      </c>
    </row>
    <row r="10" spans="2:14" x14ac:dyDescent="0.4">
      <c r="B10" s="97" t="s">
        <v>105</v>
      </c>
      <c r="C10" s="98"/>
      <c r="D10" s="98"/>
      <c r="E10" s="98"/>
      <c r="F10" s="26">
        <v>525.28</v>
      </c>
      <c r="I10" s="97" t="s">
        <v>105</v>
      </c>
      <c r="J10" s="98"/>
      <c r="K10" s="98"/>
      <c r="L10" s="98"/>
      <c r="M10" s="26">
        <v>525.28</v>
      </c>
    </row>
    <row r="11" spans="2:14" x14ac:dyDescent="0.4">
      <c r="B11" s="97" t="s">
        <v>106</v>
      </c>
      <c r="C11" s="98"/>
      <c r="D11" s="98"/>
      <c r="E11" s="98"/>
      <c r="F11" s="26">
        <f>4.34+0.64</f>
        <v>4.9799999999999995</v>
      </c>
      <c r="I11" s="97" t="s">
        <v>106</v>
      </c>
      <c r="J11" s="98"/>
      <c r="K11" s="98"/>
      <c r="L11" s="98"/>
      <c r="M11" s="26">
        <f>4.34+0.64</f>
        <v>4.9799999999999995</v>
      </c>
    </row>
    <row r="12" spans="2:14" ht="18" customHeight="1" x14ac:dyDescent="0.4">
      <c r="B12" s="99" t="s">
        <v>107</v>
      </c>
      <c r="C12" s="100"/>
      <c r="D12" s="100"/>
      <c r="E12" s="100"/>
      <c r="F12" s="29"/>
      <c r="I12" s="99" t="s">
        <v>107</v>
      </c>
      <c r="J12" s="100"/>
      <c r="K12" s="100"/>
      <c r="L12" s="100"/>
      <c r="M12" s="29"/>
    </row>
    <row r="13" spans="2:14" ht="18" customHeight="1" x14ac:dyDescent="0.4">
      <c r="B13" s="97" t="s">
        <v>108</v>
      </c>
      <c r="C13" s="98"/>
      <c r="D13" s="98"/>
      <c r="E13" s="98"/>
      <c r="F13" s="26">
        <v>0</v>
      </c>
      <c r="I13" s="97" t="s">
        <v>108</v>
      </c>
      <c r="J13" s="98"/>
      <c r="K13" s="98"/>
      <c r="L13" s="98"/>
      <c r="M13" s="26">
        <v>0</v>
      </c>
    </row>
    <row r="14" spans="2:14" ht="18" customHeight="1" x14ac:dyDescent="0.4">
      <c r="B14" s="97" t="s">
        <v>109</v>
      </c>
      <c r="C14" s="98"/>
      <c r="D14" s="98"/>
      <c r="E14" s="98"/>
      <c r="F14" s="26">
        <v>172.79</v>
      </c>
      <c r="I14" s="97" t="s">
        <v>109</v>
      </c>
      <c r="J14" s="98"/>
      <c r="K14" s="98"/>
      <c r="L14" s="98"/>
      <c r="M14" s="26">
        <v>172.79</v>
      </c>
    </row>
    <row r="15" spans="2:14" ht="18" customHeight="1" x14ac:dyDescent="0.4">
      <c r="B15" s="97" t="s">
        <v>110</v>
      </c>
      <c r="C15" s="98"/>
      <c r="D15" s="98"/>
      <c r="E15" s="98"/>
      <c r="F15" s="26">
        <f>159.37/2</f>
        <v>79.685000000000002</v>
      </c>
      <c r="I15" s="97" t="s">
        <v>110</v>
      </c>
      <c r="J15" s="98"/>
      <c r="K15" s="98"/>
      <c r="L15" s="98"/>
      <c r="M15" s="26">
        <f>159.37/2</f>
        <v>79.685000000000002</v>
      </c>
    </row>
    <row r="16" spans="2:14" x14ac:dyDescent="0.4">
      <c r="B16" s="97" t="s">
        <v>111</v>
      </c>
      <c r="C16" s="98"/>
      <c r="D16" s="98"/>
      <c r="E16" s="98"/>
      <c r="F16" s="26">
        <v>4.1500000000000004</v>
      </c>
      <c r="I16" s="97" t="s">
        <v>111</v>
      </c>
      <c r="J16" s="98"/>
      <c r="K16" s="98"/>
      <c r="L16" s="98"/>
      <c r="M16" s="26">
        <v>4.1500000000000004</v>
      </c>
    </row>
    <row r="17" spans="2:14" ht="18" customHeight="1" x14ac:dyDescent="0.4">
      <c r="B17" s="104" t="s">
        <v>112</v>
      </c>
      <c r="C17" s="105"/>
      <c r="D17" s="105"/>
      <c r="E17" s="105"/>
      <c r="F17" s="30">
        <f>SUM(F7:F11)-SUM(F13:F16)</f>
        <v>3473.6349999999998</v>
      </c>
      <c r="I17" s="104" t="s">
        <v>112</v>
      </c>
      <c r="J17" s="105"/>
      <c r="K17" s="105"/>
      <c r="L17" s="105"/>
      <c r="M17" s="30">
        <f>SUM(M7:M11)-SUM(M13:M16)</f>
        <v>3473.6349999999998</v>
      </c>
    </row>
    <row r="18" spans="2:14" ht="48.95" customHeight="1" x14ac:dyDescent="0.4">
      <c r="B18" s="103" t="s">
        <v>113</v>
      </c>
      <c r="C18" s="103"/>
      <c r="D18" s="103"/>
      <c r="E18" s="103"/>
      <c r="F18" s="103"/>
      <c r="G18" s="31"/>
      <c r="H18" s="32"/>
      <c r="I18" s="103" t="s">
        <v>113</v>
      </c>
      <c r="J18" s="103"/>
      <c r="K18" s="103"/>
      <c r="L18" s="103"/>
      <c r="M18" s="103"/>
      <c r="N18" s="33"/>
    </row>
    <row r="19" spans="2:14" ht="22.5" customHeight="1" x14ac:dyDescent="0.3">
      <c r="B19" s="109" t="s">
        <v>114</v>
      </c>
      <c r="C19" s="109"/>
      <c r="D19" s="109"/>
      <c r="E19" s="109"/>
      <c r="F19" s="109"/>
      <c r="G19" s="109"/>
      <c r="I19" s="109" t="s">
        <v>114</v>
      </c>
      <c r="J19" s="109"/>
      <c r="K19" s="109"/>
      <c r="L19" s="109"/>
      <c r="M19" s="109"/>
      <c r="N19" s="109"/>
    </row>
    <row r="20" spans="2:14" ht="32.25" customHeight="1" x14ac:dyDescent="0.4">
      <c r="B20" s="33"/>
      <c r="C20" s="35"/>
      <c r="D20" s="35"/>
      <c r="E20" s="35"/>
      <c r="F20" s="35"/>
      <c r="G20" s="35"/>
      <c r="I20" s="33"/>
      <c r="J20" s="35"/>
      <c r="K20" s="35"/>
      <c r="L20" s="35"/>
      <c r="M20" s="35"/>
      <c r="N20" s="35"/>
    </row>
    <row r="21" spans="2:14" ht="16.899999999999999" customHeight="1" x14ac:dyDescent="0.4">
      <c r="B21" s="36"/>
      <c r="C21" s="108" t="s">
        <v>115</v>
      </c>
      <c r="D21" s="108"/>
      <c r="E21" s="108"/>
      <c r="F21" s="108"/>
      <c r="G21" s="36"/>
      <c r="I21" s="36"/>
      <c r="J21" s="108" t="s">
        <v>115</v>
      </c>
      <c r="K21" s="108"/>
      <c r="L21" s="108"/>
      <c r="M21" s="108"/>
      <c r="N21" s="36"/>
    </row>
    <row r="22" spans="2:14" ht="16.899999999999999" customHeight="1" x14ac:dyDescent="0.4">
      <c r="B22" s="36"/>
      <c r="C22" s="37"/>
      <c r="D22" s="37"/>
      <c r="E22" s="37"/>
      <c r="F22" s="37"/>
      <c r="G22" s="36"/>
      <c r="I22" s="36"/>
      <c r="J22" s="37"/>
      <c r="K22" s="37"/>
      <c r="L22" s="37"/>
      <c r="M22" s="37"/>
      <c r="N22" s="36"/>
    </row>
    <row r="23" spans="2:14" ht="16.899999999999999" customHeight="1" x14ac:dyDescent="0.4">
      <c r="B23" s="36"/>
      <c r="C23" s="37"/>
      <c r="D23" s="37"/>
      <c r="E23" s="37"/>
      <c r="F23" s="37"/>
      <c r="G23" s="36"/>
      <c r="I23" s="36"/>
      <c r="J23" s="37"/>
      <c r="K23" s="37"/>
      <c r="L23" s="37"/>
      <c r="M23" s="37"/>
      <c r="N23" s="36"/>
    </row>
    <row r="24" spans="2:14" ht="16.899999999999999" customHeight="1" x14ac:dyDescent="0.4">
      <c r="B24" s="36"/>
      <c r="C24" s="37"/>
      <c r="D24" s="37"/>
      <c r="E24" s="37"/>
      <c r="F24" s="37"/>
      <c r="G24" s="36"/>
      <c r="I24" s="36"/>
      <c r="J24" s="37"/>
      <c r="K24" s="37"/>
      <c r="L24" s="37"/>
      <c r="M24" s="37"/>
      <c r="N24" s="36"/>
    </row>
    <row r="25" spans="2:14" ht="16.899999999999999" customHeight="1" x14ac:dyDescent="0.4">
      <c r="B25" s="36"/>
      <c r="C25" s="37"/>
      <c r="D25" s="37"/>
      <c r="E25" s="37"/>
      <c r="F25" s="37"/>
      <c r="G25" s="36"/>
      <c r="I25" s="36"/>
      <c r="J25" s="37"/>
      <c r="K25" s="37"/>
      <c r="L25" s="37"/>
      <c r="M25" s="37"/>
      <c r="N25" s="36"/>
    </row>
    <row r="26" spans="2:14" ht="16.899999999999999" customHeight="1" x14ac:dyDescent="0.4">
      <c r="B26" s="36"/>
      <c r="C26" s="37"/>
      <c r="D26" s="37"/>
      <c r="E26" s="37"/>
      <c r="F26" s="37"/>
      <c r="G26" s="36"/>
      <c r="I26" s="36"/>
      <c r="J26" s="37"/>
      <c r="K26" s="37"/>
      <c r="L26" s="37"/>
      <c r="M26" s="37"/>
      <c r="N26" s="36"/>
    </row>
    <row r="27" spans="2:14" ht="16.899999999999999" customHeight="1" x14ac:dyDescent="0.4">
      <c r="B27" s="36"/>
      <c r="C27" s="37"/>
      <c r="D27" s="37"/>
      <c r="E27" s="37"/>
      <c r="F27" s="37"/>
      <c r="G27" s="36"/>
      <c r="I27" s="36"/>
      <c r="J27" s="37"/>
      <c r="K27" s="37"/>
      <c r="L27" s="37"/>
      <c r="M27" s="37"/>
      <c r="N27" s="36"/>
    </row>
    <row r="28" spans="2:14" ht="16.899999999999999" customHeight="1" x14ac:dyDescent="0.4">
      <c r="B28" s="36"/>
      <c r="C28" s="37"/>
      <c r="D28" s="37"/>
      <c r="E28" s="37"/>
      <c r="F28" s="37"/>
      <c r="G28" s="36"/>
      <c r="I28" s="36"/>
      <c r="J28" s="37"/>
      <c r="K28" s="37"/>
      <c r="L28" s="37"/>
      <c r="M28" s="37"/>
      <c r="N28" s="36"/>
    </row>
    <row r="29" spans="2:14" ht="47.25" customHeight="1" x14ac:dyDescent="0.4">
      <c r="B29" s="102" t="s">
        <v>96</v>
      </c>
      <c r="C29" s="102"/>
      <c r="D29" s="102"/>
      <c r="E29" s="102"/>
      <c r="F29" s="102"/>
      <c r="I29" s="102" t="s">
        <v>96</v>
      </c>
      <c r="J29" s="102"/>
      <c r="K29" s="102"/>
      <c r="L29" s="102"/>
      <c r="M29" s="102"/>
    </row>
    <row r="30" spans="2:14" ht="21" customHeight="1" x14ac:dyDescent="0.4">
      <c r="B30" s="110" t="s">
        <v>97</v>
      </c>
      <c r="C30" s="110"/>
      <c r="D30" s="110"/>
      <c r="E30" s="110"/>
      <c r="F30" s="110"/>
      <c r="G30" s="24"/>
      <c r="I30" s="110" t="s">
        <v>97</v>
      </c>
      <c r="J30" s="110"/>
      <c r="K30" s="110"/>
      <c r="L30" s="110"/>
      <c r="M30" s="110"/>
      <c r="N30" s="24"/>
    </row>
    <row r="31" spans="2:14" ht="21" customHeight="1" x14ac:dyDescent="0.4">
      <c r="B31" s="110" t="s">
        <v>98</v>
      </c>
      <c r="C31" s="110"/>
      <c r="D31" s="110"/>
      <c r="E31" s="110"/>
      <c r="F31" s="110"/>
      <c r="G31" s="24"/>
      <c r="I31" s="110" t="s">
        <v>98</v>
      </c>
      <c r="J31" s="110"/>
      <c r="K31" s="110"/>
      <c r="L31" s="110"/>
      <c r="M31" s="110"/>
      <c r="N31" s="24"/>
    </row>
    <row r="32" spans="2:14" ht="21" customHeight="1" x14ac:dyDescent="0.4">
      <c r="B32" s="110" t="s">
        <v>116</v>
      </c>
      <c r="C32" s="110"/>
      <c r="D32" s="110"/>
      <c r="E32" s="110"/>
      <c r="F32" s="110"/>
      <c r="G32" s="24"/>
      <c r="I32" s="110" t="s">
        <v>116</v>
      </c>
      <c r="J32" s="110"/>
      <c r="K32" s="110"/>
      <c r="L32" s="110"/>
      <c r="M32" s="110"/>
      <c r="N32" s="24"/>
    </row>
    <row r="33" spans="2:14" ht="18" customHeight="1" x14ac:dyDescent="0.4">
      <c r="B33" s="114" t="s">
        <v>100</v>
      </c>
      <c r="C33" s="115"/>
      <c r="D33" s="115"/>
      <c r="E33" s="115"/>
      <c r="F33" s="116"/>
      <c r="G33" s="32"/>
      <c r="I33" s="114" t="s">
        <v>100</v>
      </c>
      <c r="J33" s="115"/>
      <c r="K33" s="115"/>
      <c r="L33" s="115"/>
      <c r="M33" s="116"/>
      <c r="N33" s="32"/>
    </row>
    <row r="34" spans="2:14" ht="18" customHeight="1" x14ac:dyDescent="0.4">
      <c r="B34" s="111" t="s">
        <v>101</v>
      </c>
      <c r="C34" s="112"/>
      <c r="D34" s="112"/>
      <c r="E34" s="112"/>
      <c r="F34" s="113"/>
      <c r="G34" s="32"/>
      <c r="I34" s="111" t="s">
        <v>101</v>
      </c>
      <c r="J34" s="112"/>
      <c r="K34" s="112"/>
      <c r="L34" s="112"/>
      <c r="M34" s="113"/>
      <c r="N34" s="32"/>
    </row>
    <row r="35" spans="2:14" ht="18" customHeight="1" x14ac:dyDescent="0.4">
      <c r="B35" s="97" t="s">
        <v>102</v>
      </c>
      <c r="C35" s="98"/>
      <c r="D35" s="98"/>
      <c r="E35" s="98"/>
      <c r="F35" s="26">
        <v>2054.23</v>
      </c>
      <c r="I35" s="97" t="s">
        <v>102</v>
      </c>
      <c r="J35" s="98"/>
      <c r="K35" s="98"/>
      <c r="L35" s="98"/>
      <c r="M35" s="26">
        <v>2054.23</v>
      </c>
    </row>
    <row r="36" spans="2:14" ht="18" customHeight="1" x14ac:dyDescent="0.4">
      <c r="B36" s="97" t="s">
        <v>103</v>
      </c>
      <c r="C36" s="98"/>
      <c r="D36" s="98"/>
      <c r="E36" s="98"/>
      <c r="F36" s="26">
        <f>2500-F35</f>
        <v>445.77</v>
      </c>
      <c r="I36" s="97" t="s">
        <v>103</v>
      </c>
      <c r="J36" s="98"/>
      <c r="K36" s="98"/>
      <c r="L36" s="98"/>
      <c r="M36" s="26">
        <f>2500-M35</f>
        <v>445.77</v>
      </c>
    </row>
    <row r="37" spans="2:14" ht="18" customHeight="1" x14ac:dyDescent="0.4">
      <c r="B37" s="97" t="s">
        <v>117</v>
      </c>
      <c r="C37" s="98"/>
      <c r="D37" s="98"/>
      <c r="E37" s="98"/>
      <c r="F37" s="26">
        <v>100</v>
      </c>
      <c r="I37" s="97" t="s">
        <v>117</v>
      </c>
      <c r="J37" s="98"/>
      <c r="K37" s="98"/>
      <c r="L37" s="98"/>
      <c r="M37" s="26">
        <v>100</v>
      </c>
    </row>
    <row r="38" spans="2:14" x14ac:dyDescent="0.4">
      <c r="B38" s="97" t="s">
        <v>106</v>
      </c>
      <c r="C38" s="98"/>
      <c r="D38" s="98"/>
      <c r="E38" s="98"/>
      <c r="F38" s="26">
        <f>4.2+0.62</f>
        <v>4.82</v>
      </c>
      <c r="I38" s="97" t="s">
        <v>106</v>
      </c>
      <c r="J38" s="98"/>
      <c r="K38" s="98"/>
      <c r="L38" s="98"/>
      <c r="M38" s="26">
        <f>4.2+0.62</f>
        <v>4.82</v>
      </c>
    </row>
    <row r="39" spans="2:14" ht="18" customHeight="1" x14ac:dyDescent="0.4">
      <c r="B39" s="99" t="s">
        <v>107</v>
      </c>
      <c r="C39" s="100"/>
      <c r="D39" s="100"/>
      <c r="E39" s="100"/>
      <c r="F39" s="29"/>
      <c r="I39" s="99" t="s">
        <v>107</v>
      </c>
      <c r="J39" s="100"/>
      <c r="K39" s="100"/>
      <c r="L39" s="100"/>
      <c r="M39" s="29"/>
    </row>
    <row r="40" spans="2:14" ht="18" customHeight="1" x14ac:dyDescent="0.4">
      <c r="B40" s="97" t="s">
        <v>118</v>
      </c>
      <c r="C40" s="98"/>
      <c r="D40" s="98"/>
      <c r="E40" s="98"/>
      <c r="F40" s="26">
        <v>48.18</v>
      </c>
      <c r="I40" s="97" t="s">
        <v>118</v>
      </c>
      <c r="J40" s="98"/>
      <c r="K40" s="98"/>
      <c r="L40" s="98"/>
      <c r="M40" s="26">
        <v>48.18</v>
      </c>
    </row>
    <row r="41" spans="2:14" ht="18" hidden="1" customHeight="1" x14ac:dyDescent="0.4">
      <c r="B41" s="97" t="s">
        <v>119</v>
      </c>
      <c r="C41" s="98"/>
      <c r="D41" s="98"/>
      <c r="E41" s="98"/>
      <c r="F41" s="26"/>
      <c r="I41" s="97" t="s">
        <v>119</v>
      </c>
      <c r="J41" s="98"/>
      <c r="K41" s="98"/>
      <c r="L41" s="98"/>
      <c r="M41" s="26"/>
    </row>
    <row r="42" spans="2:14" ht="18" customHeight="1" x14ac:dyDescent="0.4">
      <c r="B42" s="97" t="s">
        <v>110</v>
      </c>
      <c r="C42" s="98"/>
      <c r="D42" s="98"/>
      <c r="E42" s="98"/>
      <c r="F42" s="26">
        <f>(132.19/2)+96.71</f>
        <v>162.80500000000001</v>
      </c>
      <c r="I42" s="97" t="s">
        <v>110</v>
      </c>
      <c r="J42" s="98"/>
      <c r="K42" s="98"/>
      <c r="L42" s="98"/>
      <c r="M42" s="26">
        <f>(132.19/2)+96.71</f>
        <v>162.80500000000001</v>
      </c>
    </row>
    <row r="43" spans="2:14" ht="18" customHeight="1" x14ac:dyDescent="0.4">
      <c r="B43" s="104" t="s">
        <v>112</v>
      </c>
      <c r="C43" s="105"/>
      <c r="D43" s="105"/>
      <c r="E43" s="105"/>
      <c r="F43" s="30">
        <f>SUM(F35:F38)-SUM(F40:F42)</f>
        <v>2393.835</v>
      </c>
      <c r="I43" s="104" t="s">
        <v>112</v>
      </c>
      <c r="J43" s="105"/>
      <c r="K43" s="105"/>
      <c r="L43" s="105"/>
      <c r="M43" s="30">
        <f>SUM(M35:M38)-SUM(M40:M42)</f>
        <v>2393.835</v>
      </c>
    </row>
    <row r="44" spans="2:14" ht="48.95" customHeight="1" x14ac:dyDescent="0.4">
      <c r="B44" s="103" t="s">
        <v>120</v>
      </c>
      <c r="C44" s="103"/>
      <c r="D44" s="103"/>
      <c r="E44" s="103"/>
      <c r="F44" s="103"/>
      <c r="G44" s="38"/>
      <c r="I44" s="103" t="s">
        <v>120</v>
      </c>
      <c r="J44" s="103"/>
      <c r="K44" s="103"/>
      <c r="L44" s="103"/>
      <c r="M44" s="103"/>
      <c r="N44" s="39"/>
    </row>
    <row r="45" spans="2:14" ht="22.5" customHeight="1" x14ac:dyDescent="0.3">
      <c r="B45" s="109" t="s">
        <v>114</v>
      </c>
      <c r="C45" s="109"/>
      <c r="D45" s="109"/>
      <c r="E45" s="109"/>
      <c r="F45" s="109"/>
      <c r="G45" s="109"/>
      <c r="I45" s="109" t="s">
        <v>114</v>
      </c>
      <c r="J45" s="109"/>
      <c r="K45" s="109"/>
      <c r="L45" s="109"/>
      <c r="M45" s="109"/>
      <c r="N45" s="109"/>
    </row>
    <row r="46" spans="2:14" ht="42.75" customHeight="1" x14ac:dyDescent="0.4">
      <c r="B46" s="33"/>
      <c r="C46" s="35"/>
      <c r="D46" s="35"/>
      <c r="E46" s="35"/>
      <c r="F46" s="35"/>
      <c r="G46" s="35"/>
      <c r="I46" s="33"/>
      <c r="J46" s="35"/>
      <c r="K46" s="35"/>
      <c r="L46" s="35"/>
      <c r="M46" s="35"/>
      <c r="N46" s="35"/>
    </row>
    <row r="47" spans="2:14" ht="17.100000000000001" customHeight="1" x14ac:dyDescent="0.4">
      <c r="B47" s="40"/>
      <c r="C47" s="108" t="s">
        <v>121</v>
      </c>
      <c r="D47" s="108"/>
      <c r="E47" s="108"/>
      <c r="F47" s="108"/>
      <c r="G47" s="40"/>
      <c r="I47" s="40"/>
      <c r="J47" s="108" t="s">
        <v>121</v>
      </c>
      <c r="K47" s="108"/>
      <c r="L47" s="108"/>
      <c r="M47" s="108"/>
      <c r="N47" s="40"/>
    </row>
    <row r="48" spans="2:14" ht="17.100000000000001" customHeight="1" x14ac:dyDescent="0.4">
      <c r="B48" s="40"/>
      <c r="C48" s="37"/>
      <c r="D48" s="37"/>
      <c r="E48" s="37"/>
      <c r="F48" s="37"/>
      <c r="G48" s="40"/>
      <c r="I48" s="40"/>
      <c r="J48" s="37"/>
      <c r="K48" s="37"/>
      <c r="L48" s="37"/>
      <c r="M48" s="37"/>
      <c r="N48" s="40"/>
    </row>
    <row r="49" spans="2:14" ht="17.100000000000001" customHeight="1" x14ac:dyDescent="0.4">
      <c r="B49" s="40"/>
      <c r="C49" s="37"/>
      <c r="D49" s="37"/>
      <c r="E49" s="37"/>
      <c r="F49" s="37"/>
      <c r="G49" s="40"/>
      <c r="I49" s="40"/>
      <c r="J49" s="37"/>
      <c r="K49" s="37"/>
      <c r="L49" s="37"/>
      <c r="M49" s="37"/>
      <c r="N49" s="40"/>
    </row>
    <row r="50" spans="2:14" ht="17.100000000000001" customHeight="1" x14ac:dyDescent="0.4">
      <c r="B50" s="40"/>
      <c r="C50" s="37"/>
      <c r="D50" s="37"/>
      <c r="E50" s="37"/>
      <c r="F50" s="37"/>
      <c r="G50" s="40"/>
      <c r="I50" s="40"/>
      <c r="J50" s="37"/>
      <c r="K50" s="37"/>
      <c r="L50" s="37"/>
      <c r="M50" s="37"/>
      <c r="N50" s="40"/>
    </row>
    <row r="51" spans="2:14" ht="17.100000000000001" customHeight="1" x14ac:dyDescent="0.4">
      <c r="B51" s="40"/>
      <c r="C51" s="37"/>
      <c r="D51" s="37"/>
      <c r="E51" s="37"/>
      <c r="F51" s="37"/>
      <c r="G51" s="40"/>
      <c r="I51" s="40"/>
      <c r="J51" s="37"/>
      <c r="K51" s="37"/>
      <c r="L51" s="37"/>
      <c r="M51" s="37"/>
      <c r="N51" s="40"/>
    </row>
    <row r="52" spans="2:14" ht="17.100000000000001" customHeight="1" x14ac:dyDescent="0.4">
      <c r="B52" s="40"/>
      <c r="C52" s="37"/>
      <c r="D52" s="37"/>
      <c r="E52" s="37"/>
      <c r="F52" s="37"/>
      <c r="G52" s="40"/>
      <c r="I52" s="40"/>
      <c r="J52" s="37"/>
      <c r="K52" s="37"/>
      <c r="L52" s="37"/>
      <c r="M52" s="37"/>
      <c r="N52" s="40"/>
    </row>
    <row r="53" spans="2:14" ht="17.100000000000001" customHeight="1" x14ac:dyDescent="0.4">
      <c r="B53" s="40"/>
      <c r="C53" s="37"/>
      <c r="D53" s="37"/>
      <c r="E53" s="37"/>
      <c r="F53" s="37"/>
      <c r="G53" s="40"/>
      <c r="I53" s="40"/>
      <c r="J53" s="37"/>
      <c r="K53" s="37"/>
      <c r="L53" s="37"/>
      <c r="M53" s="37"/>
      <c r="N53" s="40"/>
    </row>
    <row r="54" spans="2:14" ht="17.100000000000001" customHeight="1" x14ac:dyDescent="0.4">
      <c r="B54" s="40"/>
      <c r="C54" s="37"/>
      <c r="D54" s="37"/>
      <c r="E54" s="37"/>
      <c r="F54" s="37"/>
      <c r="G54" s="40"/>
      <c r="I54" s="40"/>
      <c r="J54" s="37"/>
      <c r="K54" s="37"/>
      <c r="L54" s="37"/>
      <c r="M54" s="37"/>
      <c r="N54" s="40"/>
    </row>
    <row r="55" spans="2:14" ht="17.100000000000001" customHeight="1" x14ac:dyDescent="0.4">
      <c r="B55" s="40"/>
      <c r="C55" s="37"/>
      <c r="D55" s="37"/>
      <c r="E55" s="37"/>
      <c r="F55" s="37"/>
      <c r="G55" s="40"/>
      <c r="I55" s="40"/>
      <c r="J55" s="37"/>
      <c r="K55" s="37"/>
      <c r="L55" s="37"/>
      <c r="M55" s="37"/>
      <c r="N55" s="40"/>
    </row>
    <row r="56" spans="2:14" ht="17.100000000000001" customHeight="1" x14ac:dyDescent="0.4">
      <c r="B56" s="40"/>
      <c r="C56" s="37"/>
      <c r="D56" s="37"/>
      <c r="E56" s="37"/>
      <c r="F56" s="37"/>
      <c r="G56" s="40"/>
      <c r="I56" s="40"/>
      <c r="J56" s="37"/>
      <c r="K56" s="37"/>
      <c r="L56" s="37"/>
      <c r="M56" s="37"/>
      <c r="N56" s="40"/>
    </row>
    <row r="57" spans="2:14" ht="17.100000000000001" customHeight="1" x14ac:dyDescent="0.4">
      <c r="B57" s="40"/>
      <c r="C57" s="37"/>
      <c r="D57" s="37"/>
      <c r="E57" s="37"/>
      <c r="F57" s="37"/>
      <c r="G57" s="40"/>
      <c r="I57" s="40"/>
      <c r="J57" s="37"/>
      <c r="K57" s="37"/>
      <c r="L57" s="37"/>
      <c r="M57" s="37"/>
      <c r="N57" s="40"/>
    </row>
    <row r="58" spans="2:14" ht="47.25" customHeight="1" x14ac:dyDescent="0.4">
      <c r="B58" s="102" t="s">
        <v>96</v>
      </c>
      <c r="C58" s="102"/>
      <c r="D58" s="102"/>
      <c r="E58" s="102"/>
      <c r="F58" s="102"/>
      <c r="I58" s="102" t="s">
        <v>96</v>
      </c>
      <c r="J58" s="102"/>
      <c r="K58" s="102"/>
      <c r="L58" s="102"/>
      <c r="M58" s="102"/>
    </row>
    <row r="59" spans="2:14" ht="21" customHeight="1" x14ac:dyDescent="0.4">
      <c r="B59" s="110" t="s">
        <v>97</v>
      </c>
      <c r="C59" s="110"/>
      <c r="D59" s="110"/>
      <c r="E59" s="110"/>
      <c r="F59" s="110"/>
      <c r="G59" s="24"/>
      <c r="I59" s="110" t="s">
        <v>97</v>
      </c>
      <c r="J59" s="110"/>
      <c r="K59" s="110"/>
      <c r="L59" s="110"/>
      <c r="M59" s="110"/>
      <c r="N59" s="24"/>
    </row>
    <row r="60" spans="2:14" ht="21" customHeight="1" x14ac:dyDescent="0.4">
      <c r="B60" s="110" t="s">
        <v>98</v>
      </c>
      <c r="C60" s="110"/>
      <c r="D60" s="110"/>
      <c r="E60" s="110"/>
      <c r="F60" s="110"/>
      <c r="G60" s="24"/>
      <c r="I60" s="110" t="s">
        <v>98</v>
      </c>
      <c r="J60" s="110"/>
      <c r="K60" s="110"/>
      <c r="L60" s="110"/>
      <c r="M60" s="110"/>
      <c r="N60" s="24"/>
    </row>
    <row r="61" spans="2:14" ht="21" customHeight="1" x14ac:dyDescent="0.4">
      <c r="B61" s="110" t="s">
        <v>122</v>
      </c>
      <c r="C61" s="110"/>
      <c r="D61" s="110"/>
      <c r="E61" s="110"/>
      <c r="F61" s="110"/>
      <c r="G61" s="24"/>
      <c r="I61" s="110" t="s">
        <v>122</v>
      </c>
      <c r="J61" s="110"/>
      <c r="K61" s="110"/>
      <c r="L61" s="110"/>
      <c r="M61" s="110"/>
      <c r="N61" s="24"/>
    </row>
    <row r="62" spans="2:14" ht="18" customHeight="1" x14ac:dyDescent="0.4">
      <c r="B62" s="114" t="s">
        <v>100</v>
      </c>
      <c r="C62" s="115"/>
      <c r="D62" s="115"/>
      <c r="E62" s="115"/>
      <c r="F62" s="116"/>
      <c r="I62" s="114" t="s">
        <v>100</v>
      </c>
      <c r="J62" s="115"/>
      <c r="K62" s="115"/>
      <c r="L62" s="115"/>
      <c r="M62" s="116"/>
    </row>
    <row r="63" spans="2:14" ht="18" customHeight="1" x14ac:dyDescent="0.4">
      <c r="B63" s="111" t="s">
        <v>101</v>
      </c>
      <c r="C63" s="112"/>
      <c r="D63" s="112"/>
      <c r="E63" s="112"/>
      <c r="F63" s="113"/>
      <c r="I63" s="111" t="s">
        <v>101</v>
      </c>
      <c r="J63" s="112"/>
      <c r="K63" s="112"/>
      <c r="L63" s="112"/>
      <c r="M63" s="113"/>
    </row>
    <row r="64" spans="2:14" ht="18" customHeight="1" x14ac:dyDescent="0.4">
      <c r="B64" s="97" t="s">
        <v>123</v>
      </c>
      <c r="C64" s="98"/>
      <c r="D64" s="98"/>
      <c r="E64" s="98"/>
      <c r="F64" s="41">
        <v>2114.33</v>
      </c>
      <c r="I64" s="97" t="s">
        <v>123</v>
      </c>
      <c r="J64" s="98"/>
      <c r="K64" s="98"/>
      <c r="L64" s="98"/>
      <c r="M64" s="41">
        <v>2114.33</v>
      </c>
    </row>
    <row r="65" spans="2:14" ht="18" customHeight="1" x14ac:dyDescent="0.4">
      <c r="B65" s="106" t="s">
        <v>124</v>
      </c>
      <c r="C65" s="107"/>
      <c r="D65" s="107"/>
      <c r="E65" s="107"/>
      <c r="F65" s="41">
        <v>150</v>
      </c>
      <c r="I65" s="106" t="s">
        <v>124</v>
      </c>
      <c r="J65" s="107"/>
      <c r="K65" s="107"/>
      <c r="L65" s="107"/>
      <c r="M65" s="41">
        <v>150</v>
      </c>
    </row>
    <row r="66" spans="2:14" x14ac:dyDescent="0.4">
      <c r="B66" s="106" t="s">
        <v>106</v>
      </c>
      <c r="C66" s="107"/>
      <c r="D66" s="107"/>
      <c r="E66" s="107"/>
      <c r="F66" s="41">
        <v>53.69</v>
      </c>
      <c r="I66" s="106" t="s">
        <v>106</v>
      </c>
      <c r="J66" s="107"/>
      <c r="K66" s="107"/>
      <c r="L66" s="107"/>
      <c r="M66" s="41">
        <v>53.69</v>
      </c>
    </row>
    <row r="67" spans="2:14" ht="18" customHeight="1" x14ac:dyDescent="0.4">
      <c r="B67" s="99" t="s">
        <v>107</v>
      </c>
      <c r="C67" s="100"/>
      <c r="D67" s="100"/>
      <c r="E67" s="100"/>
      <c r="F67" s="29"/>
      <c r="I67" s="99" t="s">
        <v>107</v>
      </c>
      <c r="J67" s="100"/>
      <c r="K67" s="100"/>
      <c r="L67" s="100"/>
      <c r="M67" s="29"/>
    </row>
    <row r="68" spans="2:14" ht="18" customHeight="1" x14ac:dyDescent="0.4">
      <c r="B68" s="97" t="s">
        <v>125</v>
      </c>
      <c r="C68" s="98"/>
      <c r="D68" s="98"/>
      <c r="E68" s="98"/>
      <c r="F68" s="26">
        <v>44.6</v>
      </c>
      <c r="I68" s="27"/>
      <c r="J68" s="28"/>
      <c r="K68" s="28"/>
      <c r="L68" s="28"/>
      <c r="M68" s="26">
        <v>44.6</v>
      </c>
    </row>
    <row r="69" spans="2:14" x14ac:dyDescent="0.4">
      <c r="B69" s="106" t="s">
        <v>126</v>
      </c>
      <c r="C69" s="107"/>
      <c r="D69" s="107"/>
      <c r="E69" s="107"/>
      <c r="F69" s="41">
        <v>4.09</v>
      </c>
      <c r="I69" s="106" t="s">
        <v>126</v>
      </c>
      <c r="J69" s="107"/>
      <c r="K69" s="107"/>
      <c r="L69" s="107"/>
      <c r="M69" s="41">
        <v>4.09</v>
      </c>
    </row>
    <row r="70" spans="2:14" ht="18" customHeight="1" x14ac:dyDescent="0.4">
      <c r="B70" s="117" t="s">
        <v>112</v>
      </c>
      <c r="C70" s="118"/>
      <c r="D70" s="118"/>
      <c r="E70" s="118"/>
      <c r="F70" s="42">
        <f>SUM(F64:F66)-SUM(F68:F69)</f>
        <v>2269.33</v>
      </c>
      <c r="I70" s="117" t="s">
        <v>112</v>
      </c>
      <c r="J70" s="118"/>
      <c r="K70" s="118"/>
      <c r="L70" s="118"/>
      <c r="M70" s="42">
        <f>SUM(M64:M66)-SUM(M68:M69)</f>
        <v>2269.33</v>
      </c>
    </row>
    <row r="71" spans="2:14" ht="48.95" customHeight="1" x14ac:dyDescent="0.4">
      <c r="B71" s="103" t="s">
        <v>127</v>
      </c>
      <c r="C71" s="103"/>
      <c r="D71" s="103"/>
      <c r="E71" s="103"/>
      <c r="F71" s="103"/>
      <c r="G71" s="38"/>
      <c r="I71" s="103" t="s">
        <v>127</v>
      </c>
      <c r="J71" s="103"/>
      <c r="K71" s="103"/>
      <c r="L71" s="103"/>
      <c r="M71" s="103"/>
      <c r="N71" s="39"/>
    </row>
    <row r="72" spans="2:14" ht="43.5" customHeight="1" x14ac:dyDescent="0.3">
      <c r="B72" s="109" t="s">
        <v>114</v>
      </c>
      <c r="C72" s="109"/>
      <c r="D72" s="109"/>
      <c r="E72" s="109"/>
      <c r="F72" s="109"/>
      <c r="G72" s="109"/>
      <c r="I72" s="109" t="s">
        <v>114</v>
      </c>
      <c r="J72" s="109"/>
      <c r="K72" s="109"/>
      <c r="L72" s="109"/>
      <c r="M72" s="109"/>
      <c r="N72" s="109"/>
    </row>
    <row r="73" spans="2:14" ht="48.95" customHeight="1" x14ac:dyDescent="0.4">
      <c r="B73" s="33"/>
      <c r="C73" s="35"/>
      <c r="D73" s="35"/>
      <c r="E73" s="35"/>
      <c r="F73" s="35"/>
      <c r="G73" s="35"/>
      <c r="I73" s="33"/>
      <c r="J73" s="35"/>
      <c r="K73" s="35"/>
      <c r="L73" s="35"/>
      <c r="M73" s="35"/>
      <c r="N73" s="35"/>
    </row>
    <row r="74" spans="2:14" ht="17.100000000000001" customHeight="1" x14ac:dyDescent="0.4">
      <c r="B74" s="36"/>
      <c r="C74" s="43" t="s">
        <v>128</v>
      </c>
      <c r="D74" s="43"/>
      <c r="E74" s="43"/>
      <c r="F74" s="43"/>
      <c r="G74" s="36"/>
      <c r="I74" s="36"/>
      <c r="J74" s="108" t="s">
        <v>128</v>
      </c>
      <c r="K74" s="108"/>
      <c r="L74" s="108"/>
      <c r="M74" s="108"/>
      <c r="N74" s="36"/>
    </row>
    <row r="75" spans="2:14" ht="17.100000000000001" customHeight="1" x14ac:dyDescent="0.4">
      <c r="B75" s="36"/>
      <c r="C75" s="40"/>
      <c r="D75" s="40"/>
      <c r="E75" s="40"/>
      <c r="F75" s="40"/>
      <c r="G75" s="36"/>
      <c r="I75" s="36"/>
      <c r="J75" s="37"/>
      <c r="K75" s="37"/>
      <c r="L75" s="37"/>
      <c r="M75" s="37"/>
      <c r="N75" s="36"/>
    </row>
    <row r="76" spans="2:14" ht="17.100000000000001" customHeight="1" x14ac:dyDescent="0.4">
      <c r="B76" s="36"/>
      <c r="C76" s="40"/>
      <c r="D76" s="40"/>
      <c r="E76" s="40"/>
      <c r="F76" s="40"/>
      <c r="G76" s="36"/>
      <c r="I76" s="36"/>
      <c r="J76" s="37"/>
      <c r="K76" s="37"/>
      <c r="L76" s="37"/>
      <c r="M76" s="37"/>
      <c r="N76" s="36"/>
    </row>
    <row r="77" spans="2:14" ht="17.100000000000001" customHeight="1" x14ac:dyDescent="0.4">
      <c r="B77" s="36"/>
      <c r="C77" s="40"/>
      <c r="D77" s="40"/>
      <c r="E77" s="40"/>
      <c r="F77" s="40"/>
      <c r="G77" s="36"/>
      <c r="I77" s="36"/>
      <c r="J77" s="37"/>
      <c r="K77" s="37"/>
      <c r="L77" s="37"/>
      <c r="M77" s="37"/>
      <c r="N77" s="36"/>
    </row>
    <row r="78" spans="2:14" ht="17.100000000000001" customHeight="1" x14ac:dyDescent="0.4">
      <c r="B78" s="36"/>
      <c r="C78" s="40"/>
      <c r="D78" s="40"/>
      <c r="E78" s="40"/>
      <c r="F78" s="40"/>
      <c r="G78" s="36"/>
      <c r="I78" s="36"/>
      <c r="J78" s="37"/>
      <c r="K78" s="37"/>
      <c r="L78" s="37"/>
      <c r="M78" s="37"/>
      <c r="N78" s="36"/>
    </row>
    <row r="79" spans="2:14" ht="17.100000000000001" customHeight="1" x14ac:dyDescent="0.4">
      <c r="B79" s="36"/>
      <c r="C79" s="40"/>
      <c r="D79" s="40"/>
      <c r="E79" s="40"/>
      <c r="F79" s="40"/>
      <c r="G79" s="36"/>
      <c r="I79" s="36"/>
      <c r="J79" s="37"/>
      <c r="K79" s="37"/>
      <c r="L79" s="37"/>
      <c r="M79" s="37"/>
      <c r="N79" s="36"/>
    </row>
    <row r="80" spans="2:14" ht="17.100000000000001" customHeight="1" x14ac:dyDescent="0.4">
      <c r="B80" s="36"/>
      <c r="C80" s="40"/>
      <c r="D80" s="40"/>
      <c r="E80" s="40"/>
      <c r="F80" s="40"/>
      <c r="G80" s="36"/>
      <c r="I80" s="36"/>
      <c r="J80" s="37"/>
      <c r="K80" s="37"/>
      <c r="L80" s="37"/>
      <c r="M80" s="37"/>
      <c r="N80" s="36"/>
    </row>
    <row r="81" spans="2:14" ht="17.100000000000001" customHeight="1" x14ac:dyDescent="0.4">
      <c r="B81" s="36"/>
      <c r="C81" s="40"/>
      <c r="D81" s="40"/>
      <c r="E81" s="40"/>
      <c r="F81" s="40"/>
      <c r="G81" s="36"/>
      <c r="I81" s="36"/>
      <c r="J81" s="37"/>
      <c r="K81" s="37"/>
      <c r="L81" s="37"/>
      <c r="M81" s="37"/>
      <c r="N81" s="36"/>
    </row>
    <row r="82" spans="2:14" ht="17.100000000000001" customHeight="1" x14ac:dyDescent="0.4">
      <c r="B82" s="36"/>
      <c r="C82" s="40"/>
      <c r="D82" s="40"/>
      <c r="E82" s="40"/>
      <c r="F82" s="40"/>
      <c r="G82" s="36"/>
      <c r="I82" s="36"/>
      <c r="J82" s="37"/>
      <c r="K82" s="37"/>
      <c r="L82" s="37"/>
      <c r="M82" s="37"/>
      <c r="N82" s="36"/>
    </row>
    <row r="83" spans="2:14" ht="17.100000000000001" customHeight="1" x14ac:dyDescent="0.4">
      <c r="B83" s="36"/>
      <c r="C83" s="40"/>
      <c r="D83" s="40"/>
      <c r="E83" s="40"/>
      <c r="F83" s="40"/>
      <c r="G83" s="36"/>
      <c r="I83" s="36"/>
      <c r="J83" s="37"/>
      <c r="K83" s="37"/>
      <c r="L83" s="37"/>
      <c r="M83" s="37"/>
      <c r="N83" s="36"/>
    </row>
    <row r="84" spans="2:14" ht="47.25" customHeight="1" x14ac:dyDescent="0.4">
      <c r="B84" s="102" t="s">
        <v>96</v>
      </c>
      <c r="C84" s="102"/>
      <c r="D84" s="102"/>
      <c r="E84" s="102"/>
      <c r="F84" s="102"/>
      <c r="I84" s="102" t="s">
        <v>96</v>
      </c>
      <c r="J84" s="102"/>
      <c r="K84" s="102"/>
      <c r="L84" s="102"/>
      <c r="M84" s="102"/>
    </row>
    <row r="85" spans="2:14" ht="21" customHeight="1" x14ac:dyDescent="0.4">
      <c r="B85" s="110" t="s">
        <v>97</v>
      </c>
      <c r="C85" s="110"/>
      <c r="D85" s="110"/>
      <c r="E85" s="110"/>
      <c r="F85" s="110"/>
      <c r="G85" s="24"/>
      <c r="I85" s="110" t="s">
        <v>97</v>
      </c>
      <c r="J85" s="110"/>
      <c r="K85" s="110"/>
      <c r="L85" s="110"/>
      <c r="M85" s="110"/>
      <c r="N85" s="24"/>
    </row>
    <row r="86" spans="2:14" ht="21" customHeight="1" x14ac:dyDescent="0.4">
      <c r="B86" s="110" t="s">
        <v>98</v>
      </c>
      <c r="C86" s="110"/>
      <c r="D86" s="110"/>
      <c r="E86" s="110"/>
      <c r="F86" s="110"/>
      <c r="G86" s="24"/>
      <c r="I86" s="110" t="s">
        <v>98</v>
      </c>
      <c r="J86" s="110"/>
      <c r="K86" s="110"/>
      <c r="L86" s="110"/>
      <c r="M86" s="110"/>
      <c r="N86" s="24"/>
    </row>
    <row r="87" spans="2:14" ht="21" customHeight="1" x14ac:dyDescent="0.4">
      <c r="B87" s="110" t="s">
        <v>129</v>
      </c>
      <c r="C87" s="110"/>
      <c r="D87" s="110"/>
      <c r="E87" s="110"/>
      <c r="F87" s="110"/>
      <c r="G87" s="24"/>
      <c r="I87" s="110" t="s">
        <v>129</v>
      </c>
      <c r="J87" s="110"/>
      <c r="K87" s="110"/>
      <c r="L87" s="110"/>
      <c r="M87" s="110"/>
      <c r="N87" s="24"/>
    </row>
    <row r="88" spans="2:14" ht="18" customHeight="1" x14ac:dyDescent="0.4">
      <c r="B88" s="114" t="s">
        <v>100</v>
      </c>
      <c r="C88" s="115"/>
      <c r="D88" s="115"/>
      <c r="E88" s="115"/>
      <c r="F88" s="116"/>
      <c r="G88" s="32"/>
      <c r="I88" s="114" t="s">
        <v>100</v>
      </c>
      <c r="J88" s="115"/>
      <c r="K88" s="115"/>
      <c r="L88" s="115"/>
      <c r="M88" s="116"/>
      <c r="N88" s="32"/>
    </row>
    <row r="89" spans="2:14" ht="18" customHeight="1" x14ac:dyDescent="0.4">
      <c r="B89" s="111" t="s">
        <v>101</v>
      </c>
      <c r="C89" s="112"/>
      <c r="D89" s="112"/>
      <c r="E89" s="112"/>
      <c r="F89" s="113"/>
      <c r="G89" s="32"/>
      <c r="I89" s="111" t="s">
        <v>101</v>
      </c>
      <c r="J89" s="112"/>
      <c r="K89" s="112"/>
      <c r="L89" s="112"/>
      <c r="M89" s="113"/>
      <c r="N89" s="32"/>
    </row>
    <row r="90" spans="2:14" ht="18" customHeight="1" x14ac:dyDescent="0.4">
      <c r="B90" s="97" t="s">
        <v>102</v>
      </c>
      <c r="C90" s="98"/>
      <c r="D90" s="98"/>
      <c r="E90" s="98"/>
      <c r="F90" s="26">
        <v>1767.28</v>
      </c>
      <c r="I90" s="97" t="s">
        <v>102</v>
      </c>
      <c r="J90" s="98"/>
      <c r="K90" s="98"/>
      <c r="L90" s="98"/>
      <c r="M90" s="26">
        <v>1767.28</v>
      </c>
    </row>
    <row r="91" spans="2:14" ht="18" customHeight="1" x14ac:dyDescent="0.4">
      <c r="B91" s="97" t="s">
        <v>104</v>
      </c>
      <c r="C91" s="98"/>
      <c r="D91" s="98"/>
      <c r="E91" s="98"/>
      <c r="F91" s="26">
        <v>100</v>
      </c>
      <c r="I91" s="97" t="s">
        <v>104</v>
      </c>
      <c r="J91" s="98"/>
      <c r="K91" s="98"/>
      <c r="L91" s="98"/>
      <c r="M91" s="26">
        <v>100</v>
      </c>
    </row>
    <row r="92" spans="2:14" ht="18" customHeight="1" x14ac:dyDescent="0.4">
      <c r="B92" s="97" t="s">
        <v>130</v>
      </c>
      <c r="C92" s="98"/>
      <c r="D92" s="98"/>
      <c r="E92" s="98"/>
      <c r="F92" s="26">
        <v>150</v>
      </c>
      <c r="I92" s="97" t="s">
        <v>130</v>
      </c>
      <c r="J92" s="98"/>
      <c r="K92" s="98"/>
      <c r="L92" s="98"/>
      <c r="M92" s="26">
        <v>150</v>
      </c>
    </row>
    <row r="93" spans="2:14" ht="18" customHeight="1" x14ac:dyDescent="0.4">
      <c r="B93" s="106" t="s">
        <v>106</v>
      </c>
      <c r="C93" s="107"/>
      <c r="D93" s="107"/>
      <c r="E93" s="107"/>
      <c r="F93" s="26">
        <v>16.87</v>
      </c>
      <c r="I93" s="106" t="s">
        <v>106</v>
      </c>
      <c r="J93" s="107"/>
      <c r="K93" s="107"/>
      <c r="L93" s="107"/>
      <c r="M93" s="26">
        <v>16.87</v>
      </c>
    </row>
    <row r="94" spans="2:14" ht="18" customHeight="1" x14ac:dyDescent="0.4">
      <c r="B94" s="99" t="s">
        <v>107</v>
      </c>
      <c r="C94" s="100"/>
      <c r="D94" s="100"/>
      <c r="E94" s="100"/>
      <c r="F94" s="29"/>
      <c r="I94" s="99" t="s">
        <v>107</v>
      </c>
      <c r="J94" s="100"/>
      <c r="K94" s="100"/>
      <c r="L94" s="100"/>
      <c r="M94" s="29"/>
    </row>
    <row r="95" spans="2:14" ht="18" customHeight="1" x14ac:dyDescent="0.4">
      <c r="B95" s="97" t="s">
        <v>125</v>
      </c>
      <c r="C95" s="98"/>
      <c r="D95" s="98"/>
      <c r="E95" s="98"/>
      <c r="F95" s="26">
        <v>35</v>
      </c>
      <c r="I95" s="97" t="s">
        <v>125</v>
      </c>
      <c r="J95" s="98"/>
      <c r="K95" s="98"/>
      <c r="L95" s="98"/>
      <c r="M95" s="26">
        <v>35</v>
      </c>
    </row>
    <row r="96" spans="2:14" ht="18" customHeight="1" x14ac:dyDescent="0.4">
      <c r="B96" s="97" t="s">
        <v>119</v>
      </c>
      <c r="C96" s="98"/>
      <c r="D96" s="98"/>
      <c r="E96" s="98"/>
      <c r="F96" s="26">
        <v>700</v>
      </c>
      <c r="I96" s="97" t="s">
        <v>119</v>
      </c>
      <c r="J96" s="98"/>
      <c r="K96" s="98"/>
      <c r="L96" s="98"/>
      <c r="M96" s="26">
        <v>700</v>
      </c>
    </row>
    <row r="97" spans="2:14" ht="18" customHeight="1" x14ac:dyDescent="0.4">
      <c r="B97" s="97" t="s">
        <v>131</v>
      </c>
      <c r="C97" s="98"/>
      <c r="D97" s="98"/>
      <c r="E97" s="98"/>
      <c r="F97" s="26">
        <v>54.69</v>
      </c>
      <c r="I97" s="97" t="s">
        <v>131</v>
      </c>
      <c r="J97" s="98"/>
      <c r="K97" s="98"/>
      <c r="L97" s="98"/>
      <c r="M97" s="26">
        <v>54.69</v>
      </c>
    </row>
    <row r="98" spans="2:14" ht="18" customHeight="1" x14ac:dyDescent="0.4">
      <c r="B98" s="97" t="s">
        <v>132</v>
      </c>
      <c r="C98" s="98"/>
      <c r="D98" s="98"/>
      <c r="E98" s="98"/>
      <c r="F98" s="26">
        <v>13.97</v>
      </c>
      <c r="I98" s="97" t="s">
        <v>132</v>
      </c>
      <c r="J98" s="98"/>
      <c r="K98" s="98"/>
      <c r="L98" s="98"/>
      <c r="M98" s="26">
        <v>13.97</v>
      </c>
    </row>
    <row r="99" spans="2:14" x14ac:dyDescent="0.4">
      <c r="B99" s="97" t="s">
        <v>133</v>
      </c>
      <c r="C99" s="98"/>
      <c r="D99" s="98"/>
      <c r="E99" s="98"/>
      <c r="F99" s="26">
        <v>250</v>
      </c>
      <c r="I99" s="97" t="s">
        <v>133</v>
      </c>
      <c r="J99" s="98"/>
      <c r="K99" s="98"/>
      <c r="L99" s="98"/>
      <c r="M99" s="26">
        <v>250</v>
      </c>
    </row>
    <row r="100" spans="2:14" ht="18" customHeight="1" x14ac:dyDescent="0.4">
      <c r="B100" s="104" t="s">
        <v>112</v>
      </c>
      <c r="C100" s="105"/>
      <c r="D100" s="105"/>
      <c r="E100" s="105"/>
      <c r="F100" s="30">
        <f>SUM(F90:F93)-SUM(F95:F99)</f>
        <v>980.48999999999978</v>
      </c>
      <c r="I100" s="104" t="s">
        <v>112</v>
      </c>
      <c r="J100" s="105"/>
      <c r="K100" s="105"/>
      <c r="L100" s="105"/>
      <c r="M100" s="30">
        <f>SUM(M90:M93)-SUM(M95:M99)</f>
        <v>980.48999999999978</v>
      </c>
    </row>
    <row r="101" spans="2:14" ht="42.75" customHeight="1" x14ac:dyDescent="0.4">
      <c r="B101" s="103" t="s">
        <v>134</v>
      </c>
      <c r="C101" s="103"/>
      <c r="D101" s="103"/>
      <c r="E101" s="103"/>
      <c r="F101" s="103"/>
      <c r="G101" s="38"/>
      <c r="I101" s="103" t="s">
        <v>134</v>
      </c>
      <c r="J101" s="103"/>
      <c r="K101" s="103"/>
      <c r="L101" s="103"/>
      <c r="M101" s="103"/>
      <c r="N101" s="39"/>
    </row>
    <row r="102" spans="2:14" ht="22.5" customHeight="1" x14ac:dyDescent="0.3">
      <c r="B102" s="109" t="s">
        <v>114</v>
      </c>
      <c r="C102" s="109"/>
      <c r="D102" s="109"/>
      <c r="E102" s="109"/>
      <c r="F102" s="109"/>
      <c r="G102" s="109"/>
      <c r="I102" s="109" t="s">
        <v>114</v>
      </c>
      <c r="J102" s="109"/>
      <c r="K102" s="109"/>
      <c r="L102" s="109"/>
      <c r="M102" s="109"/>
      <c r="N102" s="109"/>
    </row>
    <row r="103" spans="2:14" ht="34.5" customHeight="1" x14ac:dyDescent="0.4">
      <c r="B103" s="33"/>
      <c r="C103" s="35"/>
      <c r="D103" s="35"/>
      <c r="E103" s="35"/>
      <c r="F103" s="35"/>
      <c r="G103" s="35"/>
      <c r="I103" s="33"/>
      <c r="J103" s="35"/>
      <c r="K103" s="35"/>
      <c r="L103" s="35"/>
      <c r="M103" s="35"/>
      <c r="N103" s="35"/>
    </row>
    <row r="104" spans="2:14" ht="17.100000000000001" customHeight="1" x14ac:dyDescent="0.4">
      <c r="B104" s="36"/>
      <c r="C104" s="43" t="s">
        <v>135</v>
      </c>
      <c r="D104" s="43"/>
      <c r="E104" s="43"/>
      <c r="F104" s="43"/>
      <c r="G104" s="36"/>
      <c r="I104" s="36"/>
      <c r="J104" s="108" t="s">
        <v>135</v>
      </c>
      <c r="K104" s="108"/>
      <c r="L104" s="108"/>
      <c r="M104" s="108"/>
      <c r="N104" s="36"/>
    </row>
    <row r="105" spans="2:14" ht="17.100000000000001" customHeight="1" x14ac:dyDescent="0.4">
      <c r="B105" s="36"/>
      <c r="C105" s="40"/>
      <c r="D105" s="40"/>
      <c r="E105" s="40"/>
      <c r="F105" s="40"/>
      <c r="G105" s="36"/>
      <c r="I105" s="36"/>
      <c r="J105" s="37"/>
      <c r="K105" s="37"/>
      <c r="L105" s="37"/>
      <c r="M105" s="37"/>
      <c r="N105" s="36"/>
    </row>
    <row r="106" spans="2:14" ht="17.100000000000001" customHeight="1" x14ac:dyDescent="0.4">
      <c r="B106" s="36"/>
      <c r="C106" s="40"/>
      <c r="D106" s="40"/>
      <c r="E106" s="40"/>
      <c r="F106" s="40"/>
      <c r="G106" s="36"/>
      <c r="I106" s="36"/>
      <c r="J106" s="37"/>
      <c r="K106" s="37"/>
      <c r="L106" s="37"/>
      <c r="M106" s="37"/>
      <c r="N106" s="36"/>
    </row>
    <row r="107" spans="2:14" ht="17.100000000000001" customHeight="1" x14ac:dyDescent="0.4">
      <c r="B107" s="36"/>
      <c r="C107" s="40"/>
      <c r="D107" s="40"/>
      <c r="E107" s="40"/>
      <c r="F107" s="40"/>
      <c r="G107" s="36"/>
      <c r="I107" s="36"/>
      <c r="J107" s="37"/>
      <c r="K107" s="37"/>
      <c r="L107" s="37"/>
      <c r="M107" s="37"/>
      <c r="N107" s="36"/>
    </row>
    <row r="108" spans="2:14" ht="17.100000000000001" customHeight="1" x14ac:dyDescent="0.4">
      <c r="B108" s="36"/>
      <c r="C108" s="40"/>
      <c r="D108" s="40"/>
      <c r="E108" s="40"/>
      <c r="F108" s="40"/>
      <c r="G108" s="36"/>
      <c r="I108" s="36"/>
      <c r="J108" s="37"/>
      <c r="K108" s="37"/>
      <c r="L108" s="37"/>
      <c r="M108" s="37"/>
      <c r="N108" s="36"/>
    </row>
    <row r="109" spans="2:14" ht="17.100000000000001" customHeight="1" x14ac:dyDescent="0.4">
      <c r="B109" s="36"/>
      <c r="C109" s="40"/>
      <c r="D109" s="40"/>
      <c r="E109" s="40"/>
      <c r="F109" s="40"/>
      <c r="G109" s="36"/>
      <c r="I109" s="36"/>
      <c r="J109" s="37"/>
      <c r="K109" s="37"/>
      <c r="L109" s="37"/>
      <c r="M109" s="37"/>
      <c r="N109" s="36"/>
    </row>
    <row r="110" spans="2:14" ht="17.100000000000001" customHeight="1" x14ac:dyDescent="0.4">
      <c r="B110" s="36"/>
      <c r="C110" s="40"/>
      <c r="D110" s="40"/>
      <c r="E110" s="40"/>
      <c r="F110" s="40"/>
      <c r="G110" s="36"/>
      <c r="I110" s="36"/>
      <c r="J110" s="37"/>
      <c r="K110" s="37"/>
      <c r="L110" s="37"/>
      <c r="M110" s="37"/>
      <c r="N110" s="36"/>
    </row>
    <row r="111" spans="2:14" ht="17.100000000000001" customHeight="1" x14ac:dyDescent="0.4">
      <c r="B111" s="36"/>
      <c r="C111" s="40"/>
      <c r="D111" s="40"/>
      <c r="E111" s="40"/>
      <c r="F111" s="40"/>
      <c r="G111" s="36"/>
      <c r="I111" s="36"/>
      <c r="J111" s="37"/>
      <c r="K111" s="37"/>
      <c r="L111" s="37"/>
      <c r="M111" s="37"/>
      <c r="N111" s="36"/>
    </row>
    <row r="112" spans="2:14" ht="47.25" customHeight="1" x14ac:dyDescent="0.4">
      <c r="B112" s="102" t="s">
        <v>96</v>
      </c>
      <c r="C112" s="102"/>
      <c r="D112" s="102"/>
      <c r="E112" s="102"/>
      <c r="F112" s="102"/>
      <c r="I112" s="102" t="s">
        <v>96</v>
      </c>
      <c r="J112" s="102"/>
      <c r="K112" s="102"/>
      <c r="L112" s="102"/>
      <c r="M112" s="102"/>
    </row>
    <row r="113" spans="2:14" ht="21" customHeight="1" x14ac:dyDescent="0.4">
      <c r="B113" s="110" t="s">
        <v>97</v>
      </c>
      <c r="C113" s="110"/>
      <c r="D113" s="110"/>
      <c r="E113" s="110"/>
      <c r="F113" s="110"/>
      <c r="G113" s="24"/>
      <c r="I113" s="110" t="s">
        <v>97</v>
      </c>
      <c r="J113" s="110"/>
      <c r="K113" s="110"/>
      <c r="L113" s="110"/>
      <c r="M113" s="110"/>
      <c r="N113" s="24"/>
    </row>
    <row r="114" spans="2:14" ht="21" customHeight="1" x14ac:dyDescent="0.4">
      <c r="B114" s="110" t="s">
        <v>98</v>
      </c>
      <c r="C114" s="110"/>
      <c r="D114" s="110"/>
      <c r="E114" s="110"/>
      <c r="F114" s="110"/>
      <c r="G114" s="24"/>
      <c r="I114" s="110" t="s">
        <v>98</v>
      </c>
      <c r="J114" s="110"/>
      <c r="K114" s="110"/>
      <c r="L114" s="110"/>
      <c r="M114" s="110"/>
      <c r="N114" s="24"/>
    </row>
    <row r="115" spans="2:14" ht="21" customHeight="1" x14ac:dyDescent="0.4">
      <c r="B115" s="110" t="s">
        <v>136</v>
      </c>
      <c r="C115" s="110"/>
      <c r="D115" s="110"/>
      <c r="E115" s="110"/>
      <c r="F115" s="110"/>
      <c r="G115" s="24"/>
      <c r="I115" s="110" t="s">
        <v>136</v>
      </c>
      <c r="J115" s="110"/>
      <c r="K115" s="110"/>
      <c r="L115" s="110"/>
      <c r="M115" s="110"/>
      <c r="N115" s="24"/>
    </row>
    <row r="116" spans="2:14" ht="18" customHeight="1" x14ac:dyDescent="0.4">
      <c r="B116" s="114" t="s">
        <v>100</v>
      </c>
      <c r="C116" s="115"/>
      <c r="D116" s="115"/>
      <c r="E116" s="115"/>
      <c r="F116" s="116"/>
      <c r="I116" s="114" t="s">
        <v>100</v>
      </c>
      <c r="J116" s="115"/>
      <c r="K116" s="115"/>
      <c r="L116" s="115"/>
      <c r="M116" s="116"/>
    </row>
    <row r="117" spans="2:14" ht="18" customHeight="1" x14ac:dyDescent="0.4">
      <c r="B117" s="111" t="s">
        <v>101</v>
      </c>
      <c r="C117" s="112"/>
      <c r="D117" s="112"/>
      <c r="E117" s="112"/>
      <c r="F117" s="113"/>
      <c r="I117" s="111" t="s">
        <v>101</v>
      </c>
      <c r="J117" s="112"/>
      <c r="K117" s="112"/>
      <c r="L117" s="112"/>
      <c r="M117" s="113"/>
    </row>
    <row r="118" spans="2:14" ht="18" customHeight="1" x14ac:dyDescent="0.4">
      <c r="B118" s="97" t="s">
        <v>102</v>
      </c>
      <c r="C118" s="98"/>
      <c r="D118" s="98"/>
      <c r="E118" s="98"/>
      <c r="F118" s="41">
        <v>1546.38</v>
      </c>
      <c r="I118" s="97" t="s">
        <v>102</v>
      </c>
      <c r="J118" s="98"/>
      <c r="K118" s="98"/>
      <c r="L118" s="98"/>
      <c r="M118" s="41">
        <v>1546.38</v>
      </c>
    </row>
    <row r="119" spans="2:14" ht="18" customHeight="1" x14ac:dyDescent="0.4">
      <c r="B119" s="106" t="s">
        <v>124</v>
      </c>
      <c r="C119" s="107"/>
      <c r="D119" s="107"/>
      <c r="E119" s="107"/>
      <c r="F119" s="41">
        <v>0</v>
      </c>
      <c r="I119" s="106" t="s">
        <v>124</v>
      </c>
      <c r="J119" s="107"/>
      <c r="K119" s="107"/>
      <c r="L119" s="107"/>
      <c r="M119" s="41">
        <v>0</v>
      </c>
    </row>
    <row r="120" spans="2:14" ht="18" customHeight="1" x14ac:dyDescent="0.4">
      <c r="B120" s="106" t="s">
        <v>105</v>
      </c>
      <c r="C120" s="107"/>
      <c r="D120" s="107"/>
      <c r="E120" s="107"/>
      <c r="F120" s="41">
        <v>416.11</v>
      </c>
      <c r="I120" s="106" t="s">
        <v>105</v>
      </c>
      <c r="J120" s="107"/>
      <c r="K120" s="107"/>
      <c r="L120" s="107"/>
      <c r="M120" s="41">
        <v>416.11</v>
      </c>
    </row>
    <row r="121" spans="2:14" x14ac:dyDescent="0.4">
      <c r="B121" s="106" t="s">
        <v>106</v>
      </c>
      <c r="C121" s="107"/>
      <c r="D121" s="107"/>
      <c r="E121" s="107"/>
      <c r="F121" s="41">
        <f>1.27+0.19</f>
        <v>1.46</v>
      </c>
      <c r="I121" s="106" t="s">
        <v>106</v>
      </c>
      <c r="J121" s="107"/>
      <c r="K121" s="107"/>
      <c r="L121" s="107"/>
      <c r="M121" s="41">
        <f>1.27+0.19</f>
        <v>1.46</v>
      </c>
    </row>
    <row r="122" spans="2:14" ht="18" customHeight="1" x14ac:dyDescent="0.4">
      <c r="B122" s="99" t="s">
        <v>107</v>
      </c>
      <c r="C122" s="100"/>
      <c r="D122" s="100"/>
      <c r="E122" s="100"/>
      <c r="F122" s="29"/>
      <c r="I122" s="99" t="s">
        <v>107</v>
      </c>
      <c r="J122" s="100"/>
      <c r="K122" s="100"/>
      <c r="L122" s="100"/>
      <c r="M122" s="29"/>
    </row>
    <row r="123" spans="2:14" ht="18" customHeight="1" x14ac:dyDescent="0.4">
      <c r="B123" s="106" t="s">
        <v>119</v>
      </c>
      <c r="C123" s="107"/>
      <c r="D123" s="107"/>
      <c r="E123" s="107"/>
      <c r="F123" s="41">
        <v>500</v>
      </c>
      <c r="I123" s="106" t="s">
        <v>119</v>
      </c>
      <c r="J123" s="107"/>
      <c r="K123" s="107"/>
      <c r="L123" s="107"/>
      <c r="M123" s="41">
        <v>500</v>
      </c>
    </row>
    <row r="124" spans="2:14" ht="18" customHeight="1" x14ac:dyDescent="0.4">
      <c r="B124" s="106" t="s">
        <v>118</v>
      </c>
      <c r="C124" s="107"/>
      <c r="D124" s="107"/>
      <c r="E124" s="107"/>
      <c r="F124" s="41">
        <v>70.989999999999995</v>
      </c>
      <c r="I124" s="106" t="s">
        <v>118</v>
      </c>
      <c r="J124" s="107"/>
      <c r="K124" s="107"/>
      <c r="L124" s="107"/>
      <c r="M124" s="41">
        <v>70.989999999999995</v>
      </c>
    </row>
    <row r="125" spans="2:14" ht="18" customHeight="1" x14ac:dyDescent="0.4">
      <c r="B125" s="117" t="s">
        <v>112</v>
      </c>
      <c r="C125" s="118"/>
      <c r="D125" s="118"/>
      <c r="E125" s="118"/>
      <c r="F125" s="42">
        <f>SUM(F118:F121)-SUM(F123:F124)</f>
        <v>1392.9600000000003</v>
      </c>
      <c r="I125" s="117" t="s">
        <v>112</v>
      </c>
      <c r="J125" s="118"/>
      <c r="K125" s="118"/>
      <c r="L125" s="118"/>
      <c r="M125" s="42">
        <f>SUM(M118:M121)-SUM(M123:M124)</f>
        <v>1392.9600000000003</v>
      </c>
    </row>
    <row r="126" spans="2:14" ht="48.95" customHeight="1" x14ac:dyDescent="0.4">
      <c r="B126" s="103" t="s">
        <v>137</v>
      </c>
      <c r="C126" s="103"/>
      <c r="D126" s="103"/>
      <c r="E126" s="103"/>
      <c r="F126" s="103"/>
      <c r="G126" s="38"/>
      <c r="I126" s="103" t="s">
        <v>137</v>
      </c>
      <c r="J126" s="103"/>
      <c r="K126" s="103"/>
      <c r="L126" s="103"/>
      <c r="M126" s="103"/>
      <c r="N126" s="39"/>
    </row>
    <row r="127" spans="2:14" ht="22.5" customHeight="1" x14ac:dyDescent="0.3">
      <c r="B127" s="109" t="s">
        <v>114</v>
      </c>
      <c r="C127" s="109"/>
      <c r="D127" s="109"/>
      <c r="E127" s="109"/>
      <c r="F127" s="109"/>
      <c r="G127" s="109"/>
      <c r="I127" s="109" t="s">
        <v>114</v>
      </c>
      <c r="J127" s="109"/>
      <c r="K127" s="109"/>
      <c r="L127" s="109"/>
      <c r="M127" s="109"/>
      <c r="N127" s="109"/>
    </row>
    <row r="128" spans="2:14" ht="48.95" customHeight="1" x14ac:dyDescent="0.4">
      <c r="B128" s="33"/>
      <c r="C128" s="35"/>
      <c r="D128" s="35"/>
      <c r="E128" s="35"/>
      <c r="F128" s="35"/>
      <c r="G128" s="35"/>
      <c r="I128" s="33"/>
      <c r="J128" s="35"/>
      <c r="K128" s="35"/>
      <c r="L128" s="35"/>
      <c r="M128" s="35"/>
      <c r="N128" s="35"/>
    </row>
    <row r="129" spans="2:14" ht="17.100000000000001" customHeight="1" x14ac:dyDescent="0.4">
      <c r="B129" s="36"/>
      <c r="C129" s="108" t="s">
        <v>138</v>
      </c>
      <c r="D129" s="108"/>
      <c r="E129" s="108"/>
      <c r="F129" s="108"/>
      <c r="G129" s="36"/>
      <c r="I129" s="36"/>
      <c r="J129" s="108" t="s">
        <v>138</v>
      </c>
      <c r="K129" s="108"/>
      <c r="L129" s="108"/>
      <c r="M129" s="108"/>
      <c r="N129" s="36"/>
    </row>
    <row r="130" spans="2:14" ht="17.100000000000001" customHeight="1" x14ac:dyDescent="0.4">
      <c r="B130" s="36"/>
      <c r="C130" s="37"/>
      <c r="D130" s="37"/>
      <c r="E130" s="37"/>
      <c r="F130" s="37"/>
      <c r="G130" s="36"/>
      <c r="I130" s="36"/>
      <c r="J130" s="37"/>
      <c r="K130" s="37"/>
      <c r="L130" s="37"/>
      <c r="M130" s="37"/>
      <c r="N130" s="36"/>
    </row>
    <row r="131" spans="2:14" ht="17.100000000000001" customHeight="1" x14ac:dyDescent="0.4">
      <c r="B131" s="36"/>
      <c r="C131" s="37"/>
      <c r="D131" s="37"/>
      <c r="E131" s="37"/>
      <c r="F131" s="37"/>
      <c r="G131" s="36"/>
      <c r="I131" s="36"/>
      <c r="J131" s="37"/>
      <c r="K131" s="37"/>
      <c r="L131" s="37"/>
      <c r="M131" s="37"/>
      <c r="N131" s="36"/>
    </row>
    <row r="132" spans="2:14" ht="17.100000000000001" customHeight="1" x14ac:dyDescent="0.4">
      <c r="B132" s="36"/>
      <c r="C132" s="37"/>
      <c r="D132" s="37"/>
      <c r="E132" s="37"/>
      <c r="F132" s="37"/>
      <c r="G132" s="36"/>
      <c r="I132" s="36"/>
      <c r="J132" s="37"/>
      <c r="K132" s="37"/>
      <c r="L132" s="37"/>
      <c r="M132" s="37"/>
      <c r="N132" s="36"/>
    </row>
    <row r="133" spans="2:14" ht="17.100000000000001" customHeight="1" x14ac:dyDescent="0.4">
      <c r="B133" s="36"/>
      <c r="C133" s="37"/>
      <c r="D133" s="37"/>
      <c r="E133" s="37"/>
      <c r="F133" s="37"/>
      <c r="G133" s="36"/>
      <c r="I133" s="36"/>
      <c r="J133" s="37"/>
      <c r="K133" s="37"/>
      <c r="L133" s="37"/>
      <c r="M133" s="37"/>
      <c r="N133" s="36"/>
    </row>
    <row r="134" spans="2:14" ht="17.100000000000001" customHeight="1" x14ac:dyDescent="0.4">
      <c r="B134" s="36"/>
      <c r="C134" s="37"/>
      <c r="D134" s="37"/>
      <c r="E134" s="37"/>
      <c r="F134" s="37"/>
      <c r="G134" s="36"/>
      <c r="I134" s="36"/>
      <c r="J134" s="37"/>
      <c r="K134" s="37"/>
      <c r="L134" s="37"/>
      <c r="M134" s="37"/>
      <c r="N134" s="36"/>
    </row>
    <row r="135" spans="2:14" ht="17.100000000000001" customHeight="1" x14ac:dyDescent="0.4">
      <c r="B135" s="36"/>
      <c r="C135" s="37"/>
      <c r="D135" s="37"/>
      <c r="E135" s="37"/>
      <c r="F135" s="37"/>
      <c r="G135" s="36"/>
      <c r="I135" s="36"/>
      <c r="J135" s="37"/>
      <c r="K135" s="37"/>
      <c r="L135" s="37"/>
      <c r="M135" s="37"/>
      <c r="N135" s="36"/>
    </row>
    <row r="136" spans="2:14" ht="17.100000000000001" customHeight="1" x14ac:dyDescent="0.4">
      <c r="B136" s="36"/>
      <c r="C136" s="37"/>
      <c r="D136" s="37"/>
      <c r="E136" s="37"/>
      <c r="F136" s="37"/>
      <c r="G136" s="36"/>
      <c r="I136" s="36"/>
      <c r="J136" s="37"/>
      <c r="K136" s="37"/>
      <c r="L136" s="37"/>
      <c r="M136" s="37"/>
      <c r="N136" s="36"/>
    </row>
    <row r="137" spans="2:14" ht="17.100000000000001" customHeight="1" x14ac:dyDescent="0.4">
      <c r="B137" s="36"/>
      <c r="C137" s="37"/>
      <c r="D137" s="37"/>
      <c r="E137" s="37"/>
      <c r="F137" s="37"/>
      <c r="G137" s="36"/>
      <c r="I137" s="36"/>
      <c r="J137" s="37"/>
      <c r="K137" s="37"/>
      <c r="L137" s="37"/>
      <c r="M137" s="37"/>
      <c r="N137" s="36"/>
    </row>
    <row r="138" spans="2:14" ht="17.100000000000001" customHeight="1" x14ac:dyDescent="0.4">
      <c r="B138" s="36"/>
      <c r="C138" s="37"/>
      <c r="D138" s="37"/>
      <c r="E138" s="37"/>
      <c r="F138" s="37"/>
      <c r="G138" s="36"/>
      <c r="I138" s="36"/>
      <c r="J138" s="37"/>
      <c r="K138" s="37"/>
      <c r="L138" s="37"/>
      <c r="M138" s="37"/>
      <c r="N138" s="36"/>
    </row>
    <row r="139" spans="2:14" ht="47.25" customHeight="1" x14ac:dyDescent="0.4">
      <c r="B139" s="102" t="s">
        <v>96</v>
      </c>
      <c r="C139" s="102"/>
      <c r="D139" s="102"/>
      <c r="E139" s="102"/>
      <c r="F139" s="102"/>
      <c r="I139" s="102" t="s">
        <v>96</v>
      </c>
      <c r="J139" s="102"/>
      <c r="K139" s="102"/>
      <c r="L139" s="102"/>
      <c r="M139" s="102"/>
    </row>
    <row r="140" spans="2:14" ht="21" customHeight="1" x14ac:dyDescent="0.4">
      <c r="B140" s="110" t="s">
        <v>97</v>
      </c>
      <c r="C140" s="110"/>
      <c r="D140" s="110"/>
      <c r="E140" s="110"/>
      <c r="F140" s="110"/>
      <c r="G140" s="24"/>
      <c r="I140" s="110" t="s">
        <v>97</v>
      </c>
      <c r="J140" s="110"/>
      <c r="K140" s="110"/>
      <c r="L140" s="110"/>
      <c r="M140" s="110"/>
      <c r="N140" s="24"/>
    </row>
    <row r="141" spans="2:14" ht="21" customHeight="1" x14ac:dyDescent="0.4">
      <c r="B141" s="110" t="s">
        <v>98</v>
      </c>
      <c r="C141" s="110"/>
      <c r="D141" s="110"/>
      <c r="E141" s="110"/>
      <c r="F141" s="110"/>
      <c r="G141" s="24"/>
      <c r="I141" s="110" t="s">
        <v>98</v>
      </c>
      <c r="J141" s="110"/>
      <c r="K141" s="110"/>
      <c r="L141" s="110"/>
      <c r="M141" s="110"/>
      <c r="N141" s="24"/>
    </row>
    <row r="142" spans="2:14" ht="21" customHeight="1" x14ac:dyDescent="0.4">
      <c r="B142" s="110" t="s">
        <v>139</v>
      </c>
      <c r="C142" s="110"/>
      <c r="D142" s="110"/>
      <c r="E142" s="110"/>
      <c r="F142" s="110"/>
      <c r="G142" s="24"/>
      <c r="I142" s="110" t="s">
        <v>139</v>
      </c>
      <c r="J142" s="110"/>
      <c r="K142" s="110"/>
      <c r="L142" s="110"/>
      <c r="M142" s="110"/>
      <c r="N142" s="24"/>
    </row>
    <row r="143" spans="2:14" ht="18" customHeight="1" x14ac:dyDescent="0.4">
      <c r="B143" s="114" t="s">
        <v>100</v>
      </c>
      <c r="C143" s="115"/>
      <c r="D143" s="115"/>
      <c r="E143" s="115"/>
      <c r="F143" s="116"/>
      <c r="G143" s="32"/>
      <c r="I143" s="114" t="s">
        <v>100</v>
      </c>
      <c r="J143" s="115"/>
      <c r="K143" s="115"/>
      <c r="L143" s="115"/>
      <c r="M143" s="116"/>
      <c r="N143" s="32"/>
    </row>
    <row r="144" spans="2:14" ht="18" customHeight="1" x14ac:dyDescent="0.4">
      <c r="B144" s="111" t="s">
        <v>101</v>
      </c>
      <c r="C144" s="112"/>
      <c r="D144" s="112"/>
      <c r="E144" s="112"/>
      <c r="F144" s="113"/>
      <c r="G144" s="32"/>
      <c r="I144" s="111" t="s">
        <v>101</v>
      </c>
      <c r="J144" s="112"/>
      <c r="K144" s="112"/>
      <c r="L144" s="112"/>
      <c r="M144" s="113"/>
      <c r="N144" s="32"/>
    </row>
    <row r="145" spans="2:14" ht="18" customHeight="1" x14ac:dyDescent="0.4">
      <c r="B145" s="97" t="s">
        <v>102</v>
      </c>
      <c r="C145" s="98"/>
      <c r="D145" s="98"/>
      <c r="E145" s="98"/>
      <c r="F145" s="41">
        <v>1666.15</v>
      </c>
      <c r="I145" s="97" t="s">
        <v>102</v>
      </c>
      <c r="J145" s="98"/>
      <c r="K145" s="98"/>
      <c r="L145" s="98"/>
      <c r="M145" s="41">
        <v>1666.15</v>
      </c>
    </row>
    <row r="146" spans="2:14" ht="18" customHeight="1" x14ac:dyDescent="0.4">
      <c r="B146" s="106" t="s">
        <v>103</v>
      </c>
      <c r="C146" s="107"/>
      <c r="D146" s="107"/>
      <c r="E146" s="107"/>
      <c r="F146" s="41">
        <f>2200-F145</f>
        <v>533.84999999999991</v>
      </c>
      <c r="I146" s="106" t="s">
        <v>103</v>
      </c>
      <c r="J146" s="107"/>
      <c r="K146" s="107"/>
      <c r="L146" s="107"/>
      <c r="M146" s="41">
        <f>2200-M145</f>
        <v>533.84999999999991</v>
      </c>
    </row>
    <row r="147" spans="2:14" x14ac:dyDescent="0.4">
      <c r="B147" s="106" t="s">
        <v>140</v>
      </c>
      <c r="C147" s="107"/>
      <c r="D147" s="107"/>
      <c r="E147" s="107"/>
      <c r="F147" s="41">
        <v>64.19</v>
      </c>
      <c r="I147" s="106" t="s">
        <v>140</v>
      </c>
      <c r="J147" s="107"/>
      <c r="K147" s="107"/>
      <c r="L147" s="107"/>
      <c r="M147" s="41">
        <v>64.19</v>
      </c>
    </row>
    <row r="148" spans="2:14" x14ac:dyDescent="0.4">
      <c r="B148" s="106" t="s">
        <v>106</v>
      </c>
      <c r="C148" s="107"/>
      <c r="D148" s="107"/>
      <c r="E148" s="107"/>
      <c r="F148" s="41">
        <f>15.79+2.34</f>
        <v>18.13</v>
      </c>
      <c r="I148" s="106" t="s">
        <v>106</v>
      </c>
      <c r="J148" s="107"/>
      <c r="K148" s="107"/>
      <c r="L148" s="107"/>
      <c r="M148" s="41">
        <f>15.79+2.34</f>
        <v>18.13</v>
      </c>
    </row>
    <row r="149" spans="2:14" ht="18" customHeight="1" x14ac:dyDescent="0.4">
      <c r="B149" s="99" t="s">
        <v>107</v>
      </c>
      <c r="C149" s="100"/>
      <c r="D149" s="100"/>
      <c r="E149" s="100"/>
      <c r="F149" s="29"/>
      <c r="I149" s="99" t="s">
        <v>107</v>
      </c>
      <c r="J149" s="100"/>
      <c r="K149" s="100"/>
      <c r="L149" s="100"/>
      <c r="M149" s="29"/>
    </row>
    <row r="150" spans="2:14" ht="18.75" hidden="1" customHeight="1" x14ac:dyDescent="0.4">
      <c r="B150" s="106" t="s">
        <v>118</v>
      </c>
      <c r="C150" s="107"/>
      <c r="D150" s="107"/>
      <c r="E150" s="107"/>
      <c r="F150" s="41"/>
      <c r="I150" s="106" t="s">
        <v>118</v>
      </c>
      <c r="J150" s="107"/>
      <c r="K150" s="107"/>
      <c r="L150" s="107"/>
      <c r="M150" s="41"/>
    </row>
    <row r="151" spans="2:14" ht="18" customHeight="1" x14ac:dyDescent="0.4">
      <c r="B151" s="106" t="s">
        <v>110</v>
      </c>
      <c r="C151" s="107"/>
      <c r="D151" s="107"/>
      <c r="E151" s="107"/>
      <c r="F151" s="41">
        <f>123.12/2</f>
        <v>61.56</v>
      </c>
      <c r="I151" s="106" t="s">
        <v>110</v>
      </c>
      <c r="J151" s="107"/>
      <c r="K151" s="107"/>
      <c r="L151" s="107"/>
      <c r="M151" s="41">
        <f>123.12/2</f>
        <v>61.56</v>
      </c>
    </row>
    <row r="152" spans="2:14" ht="18" customHeight="1" x14ac:dyDescent="0.4">
      <c r="B152" s="117" t="s">
        <v>112</v>
      </c>
      <c r="C152" s="118"/>
      <c r="D152" s="118"/>
      <c r="E152" s="118"/>
      <c r="F152" s="42">
        <f>SUM(F145:F148)-SUM(F150:F151)</f>
        <v>2220.7600000000002</v>
      </c>
      <c r="I152" s="117" t="s">
        <v>112</v>
      </c>
      <c r="J152" s="118"/>
      <c r="K152" s="118"/>
      <c r="L152" s="118"/>
      <c r="M152" s="42">
        <f>SUM(M145:M148)-SUM(M150:M151)</f>
        <v>2220.7600000000002</v>
      </c>
    </row>
    <row r="153" spans="2:14" ht="48.95" customHeight="1" x14ac:dyDescent="0.4">
      <c r="B153" s="103" t="s">
        <v>141</v>
      </c>
      <c r="C153" s="103"/>
      <c r="D153" s="103"/>
      <c r="E153" s="103"/>
      <c r="F153" s="103"/>
      <c r="G153" s="38"/>
      <c r="I153" s="103" t="s">
        <v>141</v>
      </c>
      <c r="J153" s="103"/>
      <c r="K153" s="103"/>
      <c r="L153" s="103"/>
      <c r="M153" s="103"/>
      <c r="N153" s="39"/>
    </row>
    <row r="154" spans="2:14" ht="43.5" customHeight="1" x14ac:dyDescent="0.3">
      <c r="B154" s="109" t="s">
        <v>114</v>
      </c>
      <c r="C154" s="109"/>
      <c r="D154" s="109"/>
      <c r="E154" s="109"/>
      <c r="F154" s="109"/>
      <c r="G154" s="109"/>
      <c r="I154" s="109" t="s">
        <v>114</v>
      </c>
      <c r="J154" s="109"/>
      <c r="K154" s="109"/>
      <c r="L154" s="109"/>
      <c r="M154" s="109"/>
      <c r="N154" s="109"/>
    </row>
    <row r="155" spans="2:14" ht="48.95" customHeight="1" x14ac:dyDescent="0.4">
      <c r="B155" s="33"/>
      <c r="C155" s="35"/>
      <c r="D155" s="35"/>
      <c r="E155" s="35"/>
      <c r="F155" s="35"/>
      <c r="G155" s="35"/>
      <c r="I155" s="33"/>
      <c r="J155" s="35"/>
      <c r="K155" s="35"/>
      <c r="L155" s="35"/>
      <c r="M155" s="35"/>
      <c r="N155" s="35"/>
    </row>
    <row r="156" spans="2:14" ht="17.100000000000001" customHeight="1" x14ac:dyDescent="0.4">
      <c r="B156" s="101" t="s">
        <v>142</v>
      </c>
      <c r="C156" s="101"/>
      <c r="D156" s="101"/>
      <c r="E156" s="101"/>
      <c r="F156" s="101"/>
      <c r="G156" s="40"/>
      <c r="I156" s="101" t="s">
        <v>142</v>
      </c>
      <c r="J156" s="101"/>
      <c r="K156" s="101"/>
      <c r="L156" s="101"/>
      <c r="M156" s="101"/>
      <c r="N156" s="40"/>
    </row>
    <row r="157" spans="2:14" ht="17.100000000000001" customHeight="1" x14ac:dyDescent="0.4">
      <c r="B157" s="44"/>
      <c r="C157" s="44"/>
      <c r="D157" s="44"/>
      <c r="E157" s="44"/>
      <c r="F157" s="44"/>
      <c r="G157" s="40"/>
      <c r="I157" s="44"/>
      <c r="J157" s="44"/>
      <c r="K157" s="44"/>
      <c r="L157" s="44"/>
      <c r="M157" s="44"/>
      <c r="N157" s="40"/>
    </row>
    <row r="158" spans="2:14" ht="17.100000000000001" customHeight="1" x14ac:dyDescent="0.4">
      <c r="B158" s="44"/>
      <c r="C158" s="44"/>
      <c r="D158" s="44"/>
      <c r="E158" s="44"/>
      <c r="F158" s="44"/>
      <c r="G158" s="40"/>
      <c r="I158" s="44"/>
      <c r="J158" s="44"/>
      <c r="K158" s="44"/>
      <c r="L158" s="44"/>
      <c r="M158" s="44"/>
      <c r="N158" s="40"/>
    </row>
    <row r="159" spans="2:14" ht="17.100000000000001" customHeight="1" x14ac:dyDescent="0.4">
      <c r="B159" s="44"/>
      <c r="C159" s="44"/>
      <c r="D159" s="44"/>
      <c r="E159" s="44"/>
      <c r="F159" s="44"/>
      <c r="G159" s="40"/>
      <c r="I159" s="44"/>
      <c r="J159" s="44"/>
      <c r="K159" s="44"/>
      <c r="L159" s="44"/>
      <c r="M159" s="44"/>
      <c r="N159" s="40"/>
    </row>
    <row r="160" spans="2:14" ht="17.100000000000001" customHeight="1" x14ac:dyDescent="0.4">
      <c r="B160" s="44"/>
      <c r="C160" s="44"/>
      <c r="D160" s="44"/>
      <c r="E160" s="44"/>
      <c r="F160" s="44"/>
      <c r="G160" s="40"/>
      <c r="I160" s="44"/>
      <c r="J160" s="44"/>
      <c r="K160" s="44"/>
      <c r="L160" s="44"/>
      <c r="M160" s="44"/>
      <c r="N160" s="40"/>
    </row>
    <row r="161" spans="2:14" ht="17.100000000000001" customHeight="1" x14ac:dyDescent="0.4">
      <c r="B161" s="44"/>
      <c r="C161" s="44"/>
      <c r="D161" s="44"/>
      <c r="E161" s="44"/>
      <c r="F161" s="44"/>
      <c r="G161" s="40"/>
      <c r="I161" s="44"/>
      <c r="J161" s="44"/>
      <c r="K161" s="44"/>
      <c r="L161" s="44"/>
      <c r="M161" s="44"/>
      <c r="N161" s="40"/>
    </row>
    <row r="162" spans="2:14" ht="17.100000000000001" customHeight="1" x14ac:dyDescent="0.4">
      <c r="B162" s="44"/>
      <c r="C162" s="44"/>
      <c r="D162" s="44"/>
      <c r="E162" s="44"/>
      <c r="F162" s="44"/>
      <c r="G162" s="40"/>
      <c r="I162" s="44"/>
      <c r="J162" s="44"/>
      <c r="K162" s="44"/>
      <c r="L162" s="44"/>
      <c r="M162" s="44"/>
      <c r="N162" s="40"/>
    </row>
    <row r="163" spans="2:14" ht="17.100000000000001" customHeight="1" x14ac:dyDescent="0.4">
      <c r="B163" s="44"/>
      <c r="C163" s="44"/>
      <c r="D163" s="44"/>
      <c r="E163" s="44"/>
      <c r="F163" s="44"/>
      <c r="G163" s="40"/>
      <c r="I163" s="44"/>
      <c r="J163" s="44"/>
      <c r="K163" s="44"/>
      <c r="L163" s="44"/>
      <c r="M163" s="44"/>
      <c r="N163" s="40"/>
    </row>
    <row r="164" spans="2:14" ht="17.100000000000001" customHeight="1" x14ac:dyDescent="0.4">
      <c r="B164" s="44"/>
      <c r="C164" s="44"/>
      <c r="D164" s="44"/>
      <c r="E164" s="44"/>
      <c r="F164" s="44"/>
      <c r="G164" s="40"/>
      <c r="I164" s="44"/>
      <c r="J164" s="44"/>
      <c r="K164" s="44"/>
      <c r="L164" s="44"/>
      <c r="M164" s="44"/>
      <c r="N164" s="40"/>
    </row>
    <row r="165" spans="2:14" ht="17.100000000000001" customHeight="1" x14ac:dyDescent="0.4">
      <c r="B165" s="44"/>
      <c r="C165" s="44"/>
      <c r="D165" s="44"/>
      <c r="E165" s="44"/>
      <c r="F165" s="44"/>
      <c r="G165" s="40"/>
      <c r="I165" s="44"/>
      <c r="J165" s="44"/>
      <c r="K165" s="44"/>
      <c r="L165" s="44"/>
      <c r="M165" s="44"/>
      <c r="N165" s="40"/>
    </row>
    <row r="166" spans="2:14" ht="17.100000000000001" customHeight="1" x14ac:dyDescent="0.4">
      <c r="B166" s="44"/>
      <c r="C166" s="44"/>
      <c r="D166" s="44"/>
      <c r="E166" s="44"/>
      <c r="F166" s="44"/>
      <c r="G166" s="40"/>
      <c r="I166" s="44"/>
      <c r="J166" s="44"/>
      <c r="K166" s="44"/>
      <c r="L166" s="44"/>
      <c r="M166" s="44"/>
      <c r="N166" s="40"/>
    </row>
    <row r="167" spans="2:14" ht="43.5" customHeight="1" x14ac:dyDescent="0.4">
      <c r="B167" s="102" t="s">
        <v>96</v>
      </c>
      <c r="C167" s="102"/>
      <c r="D167" s="102"/>
      <c r="E167" s="102"/>
      <c r="F167" s="102"/>
      <c r="I167" s="102" t="s">
        <v>96</v>
      </c>
      <c r="J167" s="102"/>
      <c r="K167" s="102"/>
      <c r="L167" s="102"/>
      <c r="M167" s="102"/>
    </row>
    <row r="168" spans="2:14" ht="21" customHeight="1" x14ac:dyDescent="0.4">
      <c r="B168" s="110" t="s">
        <v>97</v>
      </c>
      <c r="C168" s="110"/>
      <c r="D168" s="110"/>
      <c r="E168" s="110"/>
      <c r="F168" s="110"/>
      <c r="G168" s="24"/>
      <c r="I168" s="110" t="s">
        <v>97</v>
      </c>
      <c r="J168" s="110"/>
      <c r="K168" s="110"/>
      <c r="L168" s="110"/>
      <c r="M168" s="110"/>
      <c r="N168" s="24"/>
    </row>
    <row r="169" spans="2:14" ht="18.75" customHeight="1" x14ac:dyDescent="0.4">
      <c r="B169" s="110" t="s">
        <v>98</v>
      </c>
      <c r="C169" s="110"/>
      <c r="D169" s="110"/>
      <c r="E169" s="110"/>
      <c r="F169" s="110"/>
      <c r="G169" s="24"/>
      <c r="I169" s="110" t="s">
        <v>98</v>
      </c>
      <c r="J169" s="110"/>
      <c r="K169" s="110"/>
      <c r="L169" s="110"/>
      <c r="M169" s="110"/>
      <c r="N169" s="24"/>
    </row>
    <row r="170" spans="2:14" ht="21" customHeight="1" x14ac:dyDescent="0.4">
      <c r="B170" s="110" t="s">
        <v>143</v>
      </c>
      <c r="C170" s="110"/>
      <c r="D170" s="110"/>
      <c r="E170" s="110"/>
      <c r="F170" s="110"/>
      <c r="G170" s="24"/>
      <c r="I170" s="110" t="s">
        <v>143</v>
      </c>
      <c r="J170" s="110"/>
      <c r="K170" s="110"/>
      <c r="L170" s="110"/>
      <c r="M170" s="110"/>
      <c r="N170" s="24"/>
    </row>
    <row r="171" spans="2:14" ht="18" customHeight="1" x14ac:dyDescent="0.4">
      <c r="B171" s="114" t="s">
        <v>100</v>
      </c>
      <c r="C171" s="115"/>
      <c r="D171" s="115"/>
      <c r="E171" s="115"/>
      <c r="F171" s="116"/>
      <c r="G171" s="32"/>
      <c r="I171" s="114" t="s">
        <v>100</v>
      </c>
      <c r="J171" s="115"/>
      <c r="K171" s="115"/>
      <c r="L171" s="115"/>
      <c r="M171" s="116"/>
      <c r="N171" s="32"/>
    </row>
    <row r="172" spans="2:14" ht="18" customHeight="1" x14ac:dyDescent="0.4">
      <c r="B172" s="111" t="s">
        <v>101</v>
      </c>
      <c r="C172" s="112"/>
      <c r="D172" s="112"/>
      <c r="E172" s="112"/>
      <c r="F172" s="113"/>
      <c r="G172" s="32"/>
      <c r="I172" s="111" t="s">
        <v>101</v>
      </c>
      <c r="J172" s="112"/>
      <c r="K172" s="112"/>
      <c r="L172" s="112"/>
      <c r="M172" s="113"/>
      <c r="N172" s="32"/>
    </row>
    <row r="173" spans="2:14" ht="18" customHeight="1" x14ac:dyDescent="0.4">
      <c r="B173" s="97" t="s">
        <v>102</v>
      </c>
      <c r="C173" s="98"/>
      <c r="D173" s="98"/>
      <c r="E173" s="98"/>
      <c r="F173" s="26">
        <v>1546.38</v>
      </c>
      <c r="I173" s="97" t="s">
        <v>102</v>
      </c>
      <c r="J173" s="98"/>
      <c r="K173" s="98"/>
      <c r="L173" s="98"/>
      <c r="M173" s="26">
        <v>1546.38</v>
      </c>
    </row>
    <row r="174" spans="2:14" ht="18" customHeight="1" x14ac:dyDescent="0.4">
      <c r="B174" s="97" t="s">
        <v>124</v>
      </c>
      <c r="C174" s="98"/>
      <c r="D174" s="98"/>
      <c r="E174" s="98"/>
      <c r="F174" s="26">
        <v>150</v>
      </c>
      <c r="I174" s="97" t="s">
        <v>124</v>
      </c>
      <c r="J174" s="98"/>
      <c r="K174" s="98"/>
      <c r="L174" s="98"/>
      <c r="M174" s="26">
        <v>150</v>
      </c>
    </row>
    <row r="175" spans="2:14" ht="18" customHeight="1" x14ac:dyDescent="0.4">
      <c r="B175" s="97" t="s">
        <v>144</v>
      </c>
      <c r="C175" s="98"/>
      <c r="D175" s="98"/>
      <c r="E175" s="98"/>
      <c r="F175" s="26">
        <f>33+4.89</f>
        <v>37.89</v>
      </c>
      <c r="I175" s="97" t="s">
        <v>144</v>
      </c>
      <c r="J175" s="98"/>
      <c r="K175" s="98"/>
      <c r="L175" s="98"/>
      <c r="M175" s="26">
        <f>33+4.89</f>
        <v>37.89</v>
      </c>
    </row>
    <row r="176" spans="2:14" ht="18" customHeight="1" x14ac:dyDescent="0.4">
      <c r="B176" s="97" t="s">
        <v>145</v>
      </c>
      <c r="C176" s="98"/>
      <c r="D176" s="98"/>
      <c r="E176" s="98"/>
      <c r="F176" s="26">
        <v>56.47</v>
      </c>
      <c r="I176" s="97" t="s">
        <v>145</v>
      </c>
      <c r="J176" s="98"/>
      <c r="K176" s="98"/>
      <c r="L176" s="98"/>
      <c r="M176" s="26">
        <v>56.47</v>
      </c>
    </row>
    <row r="177" spans="2:14" ht="18" hidden="1" customHeight="1" x14ac:dyDescent="0.4">
      <c r="B177" s="97" t="s">
        <v>146</v>
      </c>
      <c r="C177" s="98"/>
      <c r="D177" s="98"/>
      <c r="E177" s="98"/>
      <c r="F177" s="26">
        <v>0</v>
      </c>
      <c r="I177" s="97" t="s">
        <v>146</v>
      </c>
      <c r="J177" s="98"/>
      <c r="K177" s="98"/>
      <c r="L177" s="98"/>
      <c r="M177" s="26">
        <v>0</v>
      </c>
    </row>
    <row r="178" spans="2:14" ht="18" customHeight="1" x14ac:dyDescent="0.4">
      <c r="B178" s="99" t="s">
        <v>107</v>
      </c>
      <c r="C178" s="100"/>
      <c r="D178" s="100"/>
      <c r="E178" s="100"/>
      <c r="F178" s="29"/>
      <c r="I178" s="99" t="s">
        <v>107</v>
      </c>
      <c r="J178" s="100"/>
      <c r="K178" s="100"/>
      <c r="L178" s="100"/>
      <c r="M178" s="29"/>
    </row>
    <row r="179" spans="2:14" ht="18" customHeight="1" x14ac:dyDescent="0.4">
      <c r="B179" s="97" t="s">
        <v>147</v>
      </c>
      <c r="C179" s="98"/>
      <c r="D179" s="98"/>
      <c r="E179" s="98"/>
      <c r="F179" s="26">
        <v>124.34</v>
      </c>
      <c r="I179" s="97" t="s">
        <v>147</v>
      </c>
      <c r="J179" s="98"/>
      <c r="K179" s="98"/>
      <c r="L179" s="98"/>
      <c r="M179" s="26">
        <v>124.34</v>
      </c>
    </row>
    <row r="180" spans="2:14" x14ac:dyDescent="0.4">
      <c r="B180" s="97" t="s">
        <v>118</v>
      </c>
      <c r="C180" s="98"/>
      <c r="D180" s="98"/>
      <c r="E180" s="98"/>
      <c r="F180" s="26">
        <v>0.7</v>
      </c>
      <c r="I180" s="97" t="s">
        <v>118</v>
      </c>
      <c r="J180" s="98"/>
      <c r="K180" s="98"/>
      <c r="L180" s="98"/>
      <c r="M180" s="26">
        <v>0.7</v>
      </c>
    </row>
    <row r="181" spans="2:14" ht="18" customHeight="1" x14ac:dyDescent="0.4">
      <c r="B181" s="97" t="s">
        <v>119</v>
      </c>
      <c r="C181" s="98"/>
      <c r="D181" s="98"/>
      <c r="E181" s="98"/>
      <c r="F181" s="26">
        <v>450</v>
      </c>
      <c r="I181" s="97" t="s">
        <v>119</v>
      </c>
      <c r="J181" s="98"/>
      <c r="K181" s="98"/>
      <c r="L181" s="98"/>
      <c r="M181" s="26">
        <v>450</v>
      </c>
    </row>
    <row r="182" spans="2:14" ht="18" customHeight="1" x14ac:dyDescent="0.4">
      <c r="B182" s="97" t="s">
        <v>125</v>
      </c>
      <c r="C182" s="98"/>
      <c r="D182" s="98"/>
      <c r="E182" s="98"/>
      <c r="F182" s="26">
        <v>54.1</v>
      </c>
      <c r="I182" s="97" t="s">
        <v>125</v>
      </c>
      <c r="J182" s="98"/>
      <c r="K182" s="98"/>
      <c r="L182" s="98"/>
      <c r="M182" s="26">
        <v>54.1</v>
      </c>
    </row>
    <row r="183" spans="2:14" ht="18" customHeight="1" x14ac:dyDescent="0.4">
      <c r="B183" s="97" t="s">
        <v>148</v>
      </c>
      <c r="C183" s="98"/>
      <c r="D183" s="98"/>
      <c r="E183" s="98"/>
      <c r="F183" s="26">
        <v>66</v>
      </c>
      <c r="I183" s="97" t="s">
        <v>148</v>
      </c>
      <c r="J183" s="98"/>
      <c r="K183" s="98"/>
      <c r="L183" s="98"/>
      <c r="M183" s="26">
        <v>66</v>
      </c>
    </row>
    <row r="184" spans="2:14" ht="18" customHeight="1" x14ac:dyDescent="0.4">
      <c r="B184" s="104" t="s">
        <v>112</v>
      </c>
      <c r="C184" s="105"/>
      <c r="D184" s="105"/>
      <c r="E184" s="105"/>
      <c r="F184" s="30">
        <f>SUM(F173:F177)-SUM(F179:F183)</f>
        <v>1095.6000000000004</v>
      </c>
      <c r="I184" s="104" t="s">
        <v>112</v>
      </c>
      <c r="J184" s="105"/>
      <c r="K184" s="105"/>
      <c r="L184" s="105"/>
      <c r="M184" s="30">
        <f>SUM(M173:M177)-SUM(M179:M183)</f>
        <v>1095.6000000000004</v>
      </c>
    </row>
    <row r="185" spans="2:14" ht="31.5" customHeight="1" x14ac:dyDescent="0.4">
      <c r="B185" s="103" t="s">
        <v>149</v>
      </c>
      <c r="C185" s="103"/>
      <c r="D185" s="103"/>
      <c r="E185" s="103"/>
      <c r="F185" s="103"/>
      <c r="G185" s="38"/>
      <c r="I185" s="103" t="s">
        <v>149</v>
      </c>
      <c r="J185" s="103"/>
      <c r="K185" s="103"/>
      <c r="L185" s="103"/>
      <c r="M185" s="103"/>
      <c r="N185" s="39"/>
    </row>
    <row r="186" spans="2:14" ht="19.5" customHeight="1" x14ac:dyDescent="0.3">
      <c r="B186" s="109" t="s">
        <v>114</v>
      </c>
      <c r="C186" s="109"/>
      <c r="D186" s="109"/>
      <c r="E186" s="109"/>
      <c r="F186" s="109"/>
      <c r="G186" s="109"/>
      <c r="I186" s="109" t="s">
        <v>114</v>
      </c>
      <c r="J186" s="109"/>
      <c r="K186" s="109"/>
      <c r="L186" s="109"/>
      <c r="M186" s="109"/>
      <c r="N186" s="109"/>
    </row>
    <row r="187" spans="2:14" ht="18" customHeight="1" x14ac:dyDescent="0.4">
      <c r="B187" s="33"/>
      <c r="C187" s="35"/>
      <c r="D187" s="35"/>
      <c r="E187" s="35"/>
      <c r="F187" s="35"/>
      <c r="G187" s="35"/>
      <c r="I187" s="33"/>
      <c r="J187" s="35"/>
      <c r="K187" s="35"/>
      <c r="L187" s="35"/>
      <c r="M187" s="35"/>
      <c r="N187" s="35"/>
    </row>
    <row r="188" spans="2:14" ht="17.100000000000001" customHeight="1" x14ac:dyDescent="0.4">
      <c r="B188" s="40"/>
      <c r="C188" s="108" t="s">
        <v>150</v>
      </c>
      <c r="D188" s="108"/>
      <c r="E188" s="108"/>
      <c r="F188" s="108"/>
      <c r="G188" s="40"/>
      <c r="I188" s="40"/>
      <c r="J188" s="108" t="s">
        <v>150</v>
      </c>
      <c r="K188" s="108"/>
      <c r="L188" s="108"/>
      <c r="M188" s="108"/>
      <c r="N188" s="40"/>
    </row>
    <row r="189" spans="2:14" ht="17.100000000000001" customHeight="1" x14ac:dyDescent="0.4">
      <c r="B189" s="40"/>
      <c r="C189" s="37"/>
      <c r="D189" s="37"/>
      <c r="E189" s="37"/>
      <c r="F189" s="37"/>
      <c r="G189" s="40"/>
      <c r="I189" s="40"/>
      <c r="J189" s="37"/>
      <c r="K189" s="37"/>
      <c r="L189" s="37"/>
      <c r="M189" s="37"/>
      <c r="N189" s="40"/>
    </row>
    <row r="190" spans="2:14" ht="17.100000000000001" customHeight="1" x14ac:dyDescent="0.4">
      <c r="B190" s="40"/>
      <c r="C190" s="37"/>
      <c r="D190" s="37"/>
      <c r="E190" s="37"/>
      <c r="F190" s="37"/>
      <c r="G190" s="40"/>
      <c r="I190" s="40"/>
      <c r="J190" s="37"/>
      <c r="K190" s="37"/>
      <c r="L190" s="37"/>
      <c r="M190" s="37"/>
      <c r="N190" s="40"/>
    </row>
    <row r="191" spans="2:14" ht="17.100000000000001" customHeight="1" x14ac:dyDescent="0.4">
      <c r="B191" s="40"/>
      <c r="C191" s="37"/>
      <c r="D191" s="37"/>
      <c r="E191" s="37"/>
      <c r="F191" s="37"/>
      <c r="G191" s="40"/>
      <c r="I191" s="40"/>
      <c r="J191" s="37"/>
      <c r="K191" s="37"/>
      <c r="L191" s="37"/>
      <c r="M191" s="37"/>
      <c r="N191" s="40"/>
    </row>
    <row r="192" spans="2:14" ht="17.100000000000001" customHeight="1" x14ac:dyDescent="0.4">
      <c r="B192" s="40"/>
      <c r="C192" s="37"/>
      <c r="D192" s="37"/>
      <c r="E192" s="37"/>
      <c r="F192" s="37"/>
      <c r="G192" s="40"/>
      <c r="I192" s="40"/>
      <c r="J192" s="37"/>
      <c r="K192" s="37"/>
      <c r="L192" s="37"/>
      <c r="M192" s="37"/>
      <c r="N192" s="40"/>
    </row>
    <row r="193" spans="2:14" ht="17.100000000000001" customHeight="1" x14ac:dyDescent="0.4">
      <c r="B193" s="40"/>
      <c r="C193" s="37"/>
      <c r="D193" s="37"/>
      <c r="E193" s="37"/>
      <c r="F193" s="37"/>
      <c r="G193" s="40"/>
      <c r="I193" s="40"/>
      <c r="J193" s="37"/>
      <c r="K193" s="37"/>
      <c r="L193" s="37"/>
      <c r="M193" s="37"/>
      <c r="N193" s="40"/>
    </row>
    <row r="194" spans="2:14" ht="17.100000000000001" customHeight="1" x14ac:dyDescent="0.4">
      <c r="B194" s="40"/>
      <c r="C194" s="37"/>
      <c r="D194" s="37"/>
      <c r="E194" s="37"/>
      <c r="F194" s="37"/>
      <c r="G194" s="40"/>
      <c r="I194" s="40"/>
      <c r="J194" s="37"/>
      <c r="K194" s="37"/>
      <c r="L194" s="37"/>
      <c r="M194" s="37"/>
      <c r="N194" s="40"/>
    </row>
    <row r="195" spans="2:14" ht="17.100000000000001" customHeight="1" x14ac:dyDescent="0.4">
      <c r="B195" s="40"/>
      <c r="C195" s="37"/>
      <c r="D195" s="37"/>
      <c r="E195" s="37"/>
      <c r="F195" s="37"/>
      <c r="G195" s="40"/>
      <c r="I195" s="40"/>
      <c r="J195" s="37"/>
      <c r="K195" s="37"/>
      <c r="L195" s="37"/>
      <c r="M195" s="37"/>
      <c r="N195" s="40"/>
    </row>
    <row r="196" spans="2:14" ht="17.100000000000001" customHeight="1" x14ac:dyDescent="0.4">
      <c r="B196" s="40"/>
      <c r="C196" s="37"/>
      <c r="D196" s="37"/>
      <c r="E196" s="37"/>
      <c r="F196" s="37"/>
      <c r="G196" s="40"/>
      <c r="I196" s="40"/>
      <c r="J196" s="37"/>
      <c r="K196" s="37"/>
      <c r="L196" s="37"/>
      <c r="M196" s="37"/>
      <c r="N196" s="40"/>
    </row>
    <row r="197" spans="2:14" ht="17.100000000000001" customHeight="1" x14ac:dyDescent="0.4">
      <c r="B197" s="40"/>
      <c r="C197" s="37"/>
      <c r="D197" s="37"/>
      <c r="E197" s="37"/>
      <c r="F197" s="37"/>
      <c r="G197" s="40"/>
      <c r="I197" s="40"/>
      <c r="J197" s="37"/>
      <c r="K197" s="37"/>
      <c r="L197" s="37"/>
      <c r="M197" s="37"/>
      <c r="N197" s="40"/>
    </row>
    <row r="198" spans="2:14" ht="17.100000000000001" customHeight="1" x14ac:dyDescent="0.4">
      <c r="B198" s="40"/>
      <c r="C198" s="37"/>
      <c r="D198" s="37"/>
      <c r="E198" s="37"/>
      <c r="F198" s="37"/>
      <c r="G198" s="40"/>
      <c r="I198" s="40"/>
      <c r="J198" s="37"/>
      <c r="K198" s="37"/>
      <c r="L198" s="37"/>
      <c r="M198" s="37"/>
      <c r="N198" s="40"/>
    </row>
    <row r="199" spans="2:14" ht="47.25" customHeight="1" x14ac:dyDescent="0.4">
      <c r="B199" s="102" t="s">
        <v>96</v>
      </c>
      <c r="C199" s="102"/>
      <c r="D199" s="102"/>
      <c r="E199" s="102"/>
      <c r="F199" s="102"/>
      <c r="I199" s="102" t="s">
        <v>96</v>
      </c>
      <c r="J199" s="102"/>
      <c r="K199" s="102"/>
      <c r="L199" s="102"/>
      <c r="M199" s="102"/>
    </row>
    <row r="200" spans="2:14" ht="21" customHeight="1" x14ac:dyDescent="0.4">
      <c r="B200" s="110" t="s">
        <v>97</v>
      </c>
      <c r="C200" s="110"/>
      <c r="D200" s="110"/>
      <c r="E200" s="110"/>
      <c r="F200" s="110"/>
      <c r="G200" s="24"/>
      <c r="I200" s="110" t="s">
        <v>97</v>
      </c>
      <c r="J200" s="110"/>
      <c r="K200" s="110"/>
      <c r="L200" s="110"/>
      <c r="M200" s="110"/>
      <c r="N200" s="24"/>
    </row>
    <row r="201" spans="2:14" ht="21" customHeight="1" x14ac:dyDescent="0.4">
      <c r="B201" s="110" t="s">
        <v>98</v>
      </c>
      <c r="C201" s="110"/>
      <c r="D201" s="110"/>
      <c r="E201" s="110"/>
      <c r="F201" s="110"/>
      <c r="G201" s="24"/>
      <c r="I201" s="110" t="s">
        <v>98</v>
      </c>
      <c r="J201" s="110"/>
      <c r="K201" s="110"/>
      <c r="L201" s="110"/>
      <c r="M201" s="110"/>
      <c r="N201" s="24"/>
    </row>
    <row r="202" spans="2:14" ht="21" customHeight="1" x14ac:dyDescent="0.4">
      <c r="B202" s="110" t="s">
        <v>151</v>
      </c>
      <c r="C202" s="110"/>
      <c r="D202" s="110"/>
      <c r="E202" s="110"/>
      <c r="F202" s="110"/>
      <c r="G202" s="24"/>
      <c r="I202" s="110" t="s">
        <v>151</v>
      </c>
      <c r="J202" s="110"/>
      <c r="K202" s="110"/>
      <c r="L202" s="110"/>
      <c r="M202" s="110"/>
      <c r="N202" s="24"/>
    </row>
    <row r="203" spans="2:14" ht="18" customHeight="1" x14ac:dyDescent="0.4">
      <c r="B203" s="114" t="s">
        <v>100</v>
      </c>
      <c r="C203" s="115"/>
      <c r="D203" s="115"/>
      <c r="E203" s="115"/>
      <c r="F203" s="116"/>
      <c r="G203" s="32"/>
      <c r="I203" s="114" t="s">
        <v>100</v>
      </c>
      <c r="J203" s="115"/>
      <c r="K203" s="115"/>
      <c r="L203" s="115"/>
      <c r="M203" s="116"/>
      <c r="N203" s="32"/>
    </row>
    <row r="204" spans="2:14" ht="18" customHeight="1" x14ac:dyDescent="0.4">
      <c r="B204" s="111" t="s">
        <v>101</v>
      </c>
      <c r="C204" s="112"/>
      <c r="D204" s="112"/>
      <c r="E204" s="112"/>
      <c r="F204" s="113"/>
      <c r="G204" s="32"/>
      <c r="I204" s="111" t="s">
        <v>101</v>
      </c>
      <c r="J204" s="112"/>
      <c r="K204" s="112"/>
      <c r="L204" s="112"/>
      <c r="M204" s="113"/>
      <c r="N204" s="32"/>
    </row>
    <row r="205" spans="2:14" ht="18" customHeight="1" x14ac:dyDescent="0.4">
      <c r="B205" s="97" t="s">
        <v>102</v>
      </c>
      <c r="C205" s="98"/>
      <c r="D205" s="98"/>
      <c r="E205" s="98"/>
      <c r="F205" s="26">
        <v>1546.38</v>
      </c>
      <c r="I205" s="97" t="s">
        <v>102</v>
      </c>
      <c r="J205" s="98"/>
      <c r="K205" s="98"/>
      <c r="L205" s="98"/>
      <c r="M205" s="26">
        <v>1546.38</v>
      </c>
    </row>
    <row r="206" spans="2:14" ht="18" customHeight="1" x14ac:dyDescent="0.4">
      <c r="B206" s="97" t="s">
        <v>124</v>
      </c>
      <c r="C206" s="98"/>
      <c r="D206" s="98"/>
      <c r="E206" s="98"/>
      <c r="F206" s="26">
        <v>150</v>
      </c>
      <c r="I206" s="97" t="s">
        <v>124</v>
      </c>
      <c r="J206" s="98"/>
      <c r="K206" s="98"/>
      <c r="L206" s="98"/>
      <c r="M206" s="26">
        <v>150</v>
      </c>
    </row>
    <row r="207" spans="2:14" x14ac:dyDescent="0.4">
      <c r="B207" s="97" t="s">
        <v>106</v>
      </c>
      <c r="C207" s="98"/>
      <c r="D207" s="98"/>
      <c r="E207" s="98"/>
      <c r="F207" s="26">
        <f>14.97+2.22</f>
        <v>17.190000000000001</v>
      </c>
      <c r="I207" s="97" t="s">
        <v>106</v>
      </c>
      <c r="J207" s="98"/>
      <c r="K207" s="98"/>
      <c r="L207" s="98"/>
      <c r="M207" s="26">
        <f>14.97+2.22</f>
        <v>17.190000000000001</v>
      </c>
    </row>
    <row r="208" spans="2:14" ht="18" customHeight="1" x14ac:dyDescent="0.4">
      <c r="B208" s="99" t="s">
        <v>107</v>
      </c>
      <c r="C208" s="100"/>
      <c r="D208" s="100"/>
      <c r="E208" s="100"/>
      <c r="F208" s="29"/>
      <c r="I208" s="99" t="s">
        <v>107</v>
      </c>
      <c r="J208" s="100"/>
      <c r="K208" s="100"/>
      <c r="L208" s="100"/>
      <c r="M208" s="29"/>
    </row>
    <row r="209" spans="2:14" ht="18" customHeight="1" x14ac:dyDescent="0.4">
      <c r="B209" s="97" t="s">
        <v>147</v>
      </c>
      <c r="C209" s="98"/>
      <c r="D209" s="98"/>
      <c r="E209" s="98"/>
      <c r="F209" s="26">
        <v>122.49</v>
      </c>
      <c r="I209" s="97" t="s">
        <v>147</v>
      </c>
      <c r="J209" s="98"/>
      <c r="K209" s="98"/>
      <c r="L209" s="98"/>
      <c r="M209" s="26">
        <v>122.49</v>
      </c>
    </row>
    <row r="210" spans="2:14" ht="18" customHeight="1" x14ac:dyDescent="0.4">
      <c r="B210" s="97" t="s">
        <v>125</v>
      </c>
      <c r="C210" s="98"/>
      <c r="D210" s="98"/>
      <c r="E210" s="98"/>
      <c r="F210" s="26">
        <v>16</v>
      </c>
      <c r="I210" s="97" t="s">
        <v>125</v>
      </c>
      <c r="J210" s="98"/>
      <c r="K210" s="98"/>
      <c r="L210" s="98"/>
      <c r="M210" s="26">
        <v>16</v>
      </c>
    </row>
    <row r="211" spans="2:14" ht="18" customHeight="1" x14ac:dyDescent="0.4">
      <c r="B211" s="97" t="s">
        <v>118</v>
      </c>
      <c r="C211" s="98"/>
      <c r="D211" s="98"/>
      <c r="E211" s="98"/>
      <c r="F211" s="26">
        <v>0.49</v>
      </c>
      <c r="I211" s="97" t="s">
        <v>118</v>
      </c>
      <c r="J211" s="98"/>
      <c r="K211" s="98"/>
      <c r="L211" s="98"/>
      <c r="M211" s="26">
        <v>0.49</v>
      </c>
    </row>
    <row r="212" spans="2:14" ht="18" customHeight="1" x14ac:dyDescent="0.4">
      <c r="B212" s="97" t="s">
        <v>119</v>
      </c>
      <c r="C212" s="98"/>
      <c r="D212" s="98"/>
      <c r="E212" s="98"/>
      <c r="F212" s="26">
        <v>500</v>
      </c>
      <c r="I212" s="97" t="s">
        <v>119</v>
      </c>
      <c r="J212" s="98"/>
      <c r="K212" s="98"/>
      <c r="L212" s="98"/>
      <c r="M212" s="26">
        <v>500</v>
      </c>
    </row>
    <row r="213" spans="2:14" ht="18" customHeight="1" x14ac:dyDescent="0.4">
      <c r="B213" s="97" t="s">
        <v>110</v>
      </c>
      <c r="C213" s="98"/>
      <c r="D213" s="98"/>
      <c r="E213" s="98"/>
      <c r="F213" s="26">
        <f>132.19/2</f>
        <v>66.094999999999999</v>
      </c>
      <c r="I213" s="97" t="s">
        <v>110</v>
      </c>
      <c r="J213" s="98"/>
      <c r="K213" s="98"/>
      <c r="L213" s="98"/>
      <c r="M213" s="26">
        <f>132.19/2</f>
        <v>66.094999999999999</v>
      </c>
    </row>
    <row r="214" spans="2:14" ht="18" customHeight="1" x14ac:dyDescent="0.4">
      <c r="B214" s="97" t="s">
        <v>132</v>
      </c>
      <c r="C214" s="98"/>
      <c r="D214" s="98"/>
      <c r="E214" s="98"/>
      <c r="F214" s="26">
        <v>13.97</v>
      </c>
      <c r="I214" s="97" t="s">
        <v>132</v>
      </c>
      <c r="J214" s="98"/>
      <c r="K214" s="98"/>
      <c r="L214" s="98"/>
      <c r="M214" s="26">
        <v>13.97</v>
      </c>
    </row>
    <row r="215" spans="2:14" ht="18" customHeight="1" x14ac:dyDescent="0.4">
      <c r="B215" s="104" t="s">
        <v>112</v>
      </c>
      <c r="C215" s="105"/>
      <c r="D215" s="105"/>
      <c r="E215" s="105"/>
      <c r="F215" s="30">
        <f>SUM(F205:F207)-SUM(F209:F214)</f>
        <v>994.52500000000009</v>
      </c>
      <c r="I215" s="117" t="s">
        <v>112</v>
      </c>
      <c r="J215" s="118"/>
      <c r="K215" s="118"/>
      <c r="L215" s="118"/>
      <c r="M215" s="30">
        <f>SUM(M205:M207)-SUM(M209:M214)</f>
        <v>994.52500000000009</v>
      </c>
    </row>
    <row r="216" spans="2:14" ht="45" customHeight="1" x14ac:dyDescent="0.4">
      <c r="B216" s="103" t="s">
        <v>152</v>
      </c>
      <c r="C216" s="103"/>
      <c r="D216" s="103"/>
      <c r="E216" s="103"/>
      <c r="F216" s="103"/>
      <c r="G216" s="38"/>
      <c r="I216" s="103" t="s">
        <v>152</v>
      </c>
      <c r="J216" s="103"/>
      <c r="K216" s="103"/>
      <c r="L216" s="103"/>
      <c r="M216" s="103"/>
      <c r="N216" s="39"/>
    </row>
    <row r="217" spans="2:14" ht="22.5" customHeight="1" x14ac:dyDescent="0.3">
      <c r="B217" s="109" t="s">
        <v>114</v>
      </c>
      <c r="C217" s="109"/>
      <c r="D217" s="109"/>
      <c r="E217" s="109"/>
      <c r="F217" s="109"/>
      <c r="G217" s="109"/>
      <c r="I217" s="109" t="s">
        <v>114</v>
      </c>
      <c r="J217" s="109"/>
      <c r="K217" s="109"/>
      <c r="L217" s="109"/>
      <c r="M217" s="109"/>
      <c r="N217" s="109"/>
    </row>
    <row r="218" spans="2:14" ht="27" customHeight="1" x14ac:dyDescent="0.4">
      <c r="B218" s="33"/>
      <c r="C218" s="35"/>
      <c r="D218" s="35"/>
      <c r="E218" s="35"/>
      <c r="F218" s="35"/>
      <c r="G218" s="35"/>
      <c r="I218" s="33"/>
      <c r="J218" s="35"/>
      <c r="K218" s="35"/>
      <c r="L218" s="35"/>
      <c r="M218" s="35"/>
      <c r="N218" s="35"/>
    </row>
    <row r="219" spans="2:14" ht="17.100000000000001" customHeight="1" x14ac:dyDescent="0.4">
      <c r="B219" s="40"/>
      <c r="C219" s="108" t="s">
        <v>153</v>
      </c>
      <c r="D219" s="108"/>
      <c r="E219" s="108"/>
      <c r="F219" s="108"/>
      <c r="G219" s="40"/>
      <c r="I219" s="40"/>
      <c r="J219" s="108" t="s">
        <v>153</v>
      </c>
      <c r="K219" s="108"/>
      <c r="L219" s="108"/>
      <c r="M219" s="108"/>
      <c r="N219" s="40"/>
    </row>
  </sheetData>
  <mergeCells count="295">
    <mergeCell ref="B201:F201"/>
    <mergeCell ref="I201:M201"/>
    <mergeCell ref="B202:F202"/>
    <mergeCell ref="I202:M202"/>
    <mergeCell ref="C188:F188"/>
    <mergeCell ref="J188:M188"/>
    <mergeCell ref="B200:F200"/>
    <mergeCell ref="I200:M200"/>
    <mergeCell ref="B199:F199"/>
    <mergeCell ref="I199:M199"/>
    <mergeCell ref="B207:E207"/>
    <mergeCell ref="I207:L207"/>
    <mergeCell ref="B208:E208"/>
    <mergeCell ref="I208:L208"/>
    <mergeCell ref="I206:L206"/>
    <mergeCell ref="B206:E206"/>
    <mergeCell ref="B203:F203"/>
    <mergeCell ref="I203:M203"/>
    <mergeCell ref="B204:F204"/>
    <mergeCell ref="I204:M204"/>
    <mergeCell ref="B205:E205"/>
    <mergeCell ref="I205:L205"/>
    <mergeCell ref="B216:F216"/>
    <mergeCell ref="I216:M216"/>
    <mergeCell ref="B217:G217"/>
    <mergeCell ref="I217:N217"/>
    <mergeCell ref="C219:F219"/>
    <mergeCell ref="J219:M219"/>
    <mergeCell ref="B212:E212"/>
    <mergeCell ref="I212:L212"/>
    <mergeCell ref="B213:E213"/>
    <mergeCell ref="I213:L213"/>
    <mergeCell ref="B215:E215"/>
    <mergeCell ref="I215:L215"/>
    <mergeCell ref="B214:E214"/>
    <mergeCell ref="I214:L214"/>
    <mergeCell ref="B184:E184"/>
    <mergeCell ref="I184:L184"/>
    <mergeCell ref="B185:F185"/>
    <mergeCell ref="I185:M185"/>
    <mergeCell ref="B186:G186"/>
    <mergeCell ref="I186:N186"/>
    <mergeCell ref="B182:E182"/>
    <mergeCell ref="B174:E174"/>
    <mergeCell ref="I174:L174"/>
    <mergeCell ref="B175:E175"/>
    <mergeCell ref="I175:L175"/>
    <mergeCell ref="B178:E178"/>
    <mergeCell ref="I178:L178"/>
    <mergeCell ref="B181:E181"/>
    <mergeCell ref="I181:L181"/>
    <mergeCell ref="I176:L176"/>
    <mergeCell ref="B171:F171"/>
    <mergeCell ref="I171:M171"/>
    <mergeCell ref="B172:F172"/>
    <mergeCell ref="I172:M172"/>
    <mergeCell ref="B168:F168"/>
    <mergeCell ref="I168:M168"/>
    <mergeCell ref="B169:F169"/>
    <mergeCell ref="I169:M169"/>
    <mergeCell ref="B170:F170"/>
    <mergeCell ref="I170:M170"/>
    <mergeCell ref="B154:G154"/>
    <mergeCell ref="I154:N154"/>
    <mergeCell ref="B152:E152"/>
    <mergeCell ref="I152:L152"/>
    <mergeCell ref="B153:F153"/>
    <mergeCell ref="I153:M153"/>
    <mergeCell ref="B150:E150"/>
    <mergeCell ref="I150:L150"/>
    <mergeCell ref="B151:E151"/>
    <mergeCell ref="I151:L151"/>
    <mergeCell ref="B143:F143"/>
    <mergeCell ref="I143:M143"/>
    <mergeCell ref="B140:F140"/>
    <mergeCell ref="I140:M140"/>
    <mergeCell ref="B141:F141"/>
    <mergeCell ref="I141:M141"/>
    <mergeCell ref="I148:L148"/>
    <mergeCell ref="B148:E148"/>
    <mergeCell ref="B149:E149"/>
    <mergeCell ref="I149:L149"/>
    <mergeCell ref="B144:F144"/>
    <mergeCell ref="I144:M144"/>
    <mergeCell ref="B145:E145"/>
    <mergeCell ref="I145:L145"/>
    <mergeCell ref="B146:E146"/>
    <mergeCell ref="I146:L146"/>
    <mergeCell ref="B147:E147"/>
    <mergeCell ref="I147:L147"/>
    <mergeCell ref="B142:F142"/>
    <mergeCell ref="I142:M142"/>
    <mergeCell ref="C129:F129"/>
    <mergeCell ref="J129:M129"/>
    <mergeCell ref="B127:G127"/>
    <mergeCell ref="I127:N127"/>
    <mergeCell ref="B126:F126"/>
    <mergeCell ref="I126:M126"/>
    <mergeCell ref="I124:L124"/>
    <mergeCell ref="B124:E124"/>
    <mergeCell ref="B125:E125"/>
    <mergeCell ref="I125:L125"/>
    <mergeCell ref="B96:E96"/>
    <mergeCell ref="I96:L96"/>
    <mergeCell ref="B92:E92"/>
    <mergeCell ref="I92:L92"/>
    <mergeCell ref="B98:E98"/>
    <mergeCell ref="I98:L98"/>
    <mergeCell ref="B94:E94"/>
    <mergeCell ref="I94:L94"/>
    <mergeCell ref="B93:E93"/>
    <mergeCell ref="I93:L93"/>
    <mergeCell ref="I97:L97"/>
    <mergeCell ref="B97:E97"/>
    <mergeCell ref="B71:F71"/>
    <mergeCell ref="I71:M71"/>
    <mergeCell ref="B72:G72"/>
    <mergeCell ref="I72:N72"/>
    <mergeCell ref="B70:E70"/>
    <mergeCell ref="I70:L70"/>
    <mergeCell ref="B88:F88"/>
    <mergeCell ref="I88:M88"/>
    <mergeCell ref="B87:F87"/>
    <mergeCell ref="I87:M87"/>
    <mergeCell ref="J74:M74"/>
    <mergeCell ref="B85:F85"/>
    <mergeCell ref="I85:M85"/>
    <mergeCell ref="B86:F86"/>
    <mergeCell ref="I86:M86"/>
    <mergeCell ref="B40:E40"/>
    <mergeCell ref="I40:L40"/>
    <mergeCell ref="B59:F59"/>
    <mergeCell ref="I59:M59"/>
    <mergeCell ref="I43:L43"/>
    <mergeCell ref="B44:F44"/>
    <mergeCell ref="I44:M44"/>
    <mergeCell ref="B45:G45"/>
    <mergeCell ref="B69:E69"/>
    <mergeCell ref="I69:L69"/>
    <mergeCell ref="B68:E68"/>
    <mergeCell ref="B31:F31"/>
    <mergeCell ref="B32:F32"/>
    <mergeCell ref="B12:E12"/>
    <mergeCell ref="B67:E67"/>
    <mergeCell ref="I45:N45"/>
    <mergeCell ref="C47:F47"/>
    <mergeCell ref="J47:M47"/>
    <mergeCell ref="B42:E42"/>
    <mergeCell ref="I42:L42"/>
    <mergeCell ref="B41:E41"/>
    <mergeCell ref="I41:L41"/>
    <mergeCell ref="B65:E65"/>
    <mergeCell ref="I65:L65"/>
    <mergeCell ref="B66:E66"/>
    <mergeCell ref="I66:L66"/>
    <mergeCell ref="B34:F34"/>
    <mergeCell ref="B38:E38"/>
    <mergeCell ref="B39:E39"/>
    <mergeCell ref="B37:E37"/>
    <mergeCell ref="I37:L37"/>
    <mergeCell ref="B35:E35"/>
    <mergeCell ref="I35:L35"/>
    <mergeCell ref="B36:E36"/>
    <mergeCell ref="I36:L36"/>
    <mergeCell ref="B9:E9"/>
    <mergeCell ref="I9:L9"/>
    <mergeCell ref="B10:E10"/>
    <mergeCell ref="I10:L10"/>
    <mergeCell ref="B11:E11"/>
    <mergeCell ref="I11:L11"/>
    <mergeCell ref="B13:E13"/>
    <mergeCell ref="I13:L13"/>
    <mergeCell ref="I7:L7"/>
    <mergeCell ref="B8:E8"/>
    <mergeCell ref="I8:L8"/>
    <mergeCell ref="I120:L120"/>
    <mergeCell ref="I12:L12"/>
    <mergeCell ref="B14:E14"/>
    <mergeCell ref="I14:L14"/>
    <mergeCell ref="B15:E15"/>
    <mergeCell ref="I15:L15"/>
    <mergeCell ref="B63:F63"/>
    <mergeCell ref="I63:M63"/>
    <mergeCell ref="B60:F60"/>
    <mergeCell ref="I60:M60"/>
    <mergeCell ref="B43:E43"/>
    <mergeCell ref="B61:F61"/>
    <mergeCell ref="I61:M61"/>
    <mergeCell ref="B62:F62"/>
    <mergeCell ref="I62:M62"/>
    <mergeCell ref="B33:F33"/>
    <mergeCell ref="I33:M33"/>
    <mergeCell ref="I34:M34"/>
    <mergeCell ref="I39:L39"/>
    <mergeCell ref="I38:L38"/>
    <mergeCell ref="B30:F30"/>
    <mergeCell ref="I30:M30"/>
    <mergeCell ref="I31:M31"/>
    <mergeCell ref="I32:M32"/>
    <mergeCell ref="B1:F1"/>
    <mergeCell ref="I1:M1"/>
    <mergeCell ref="B29:F29"/>
    <mergeCell ref="I29:M29"/>
    <mergeCell ref="B58:F58"/>
    <mergeCell ref="I58:M58"/>
    <mergeCell ref="B84:F84"/>
    <mergeCell ref="I84:M84"/>
    <mergeCell ref="B95:E95"/>
    <mergeCell ref="I95:L95"/>
    <mergeCell ref="B2:F2"/>
    <mergeCell ref="I2:M2"/>
    <mergeCell ref="B3:F3"/>
    <mergeCell ref="I3:M3"/>
    <mergeCell ref="I67:L67"/>
    <mergeCell ref="B6:F6"/>
    <mergeCell ref="I6:M6"/>
    <mergeCell ref="B7:E7"/>
    <mergeCell ref="B91:E91"/>
    <mergeCell ref="I91:L91"/>
    <mergeCell ref="B90:E90"/>
    <mergeCell ref="I90:L90"/>
    <mergeCell ref="B5:F5"/>
    <mergeCell ref="I5:M5"/>
    <mergeCell ref="B4:F4"/>
    <mergeCell ref="I4:M4"/>
    <mergeCell ref="B180:E180"/>
    <mergeCell ref="B211:E211"/>
    <mergeCell ref="I180:L180"/>
    <mergeCell ref="I211:L211"/>
    <mergeCell ref="B19:G19"/>
    <mergeCell ref="I19:N19"/>
    <mergeCell ref="C21:F21"/>
    <mergeCell ref="J21:M21"/>
    <mergeCell ref="B16:E16"/>
    <mergeCell ref="I16:L16"/>
    <mergeCell ref="B17:E17"/>
    <mergeCell ref="I17:L17"/>
    <mergeCell ref="B18:F18"/>
    <mergeCell ref="I18:M18"/>
    <mergeCell ref="B64:E64"/>
    <mergeCell ref="I64:L64"/>
    <mergeCell ref="B210:E210"/>
    <mergeCell ref="I210:L210"/>
    <mergeCell ref="B89:F89"/>
    <mergeCell ref="I89:M89"/>
    <mergeCell ref="B167:F167"/>
    <mergeCell ref="I167:M167"/>
    <mergeCell ref="B209:E209"/>
    <mergeCell ref="B183:E183"/>
    <mergeCell ref="B177:E177"/>
    <mergeCell ref="I177:L177"/>
    <mergeCell ref="I183:L183"/>
    <mergeCell ref="I209:L209"/>
    <mergeCell ref="J104:M104"/>
    <mergeCell ref="B102:G102"/>
    <mergeCell ref="I102:N102"/>
    <mergeCell ref="B113:F113"/>
    <mergeCell ref="I113:M113"/>
    <mergeCell ref="B118:E118"/>
    <mergeCell ref="I118:L118"/>
    <mergeCell ref="B122:E122"/>
    <mergeCell ref="B117:F117"/>
    <mergeCell ref="I117:M117"/>
    <mergeCell ref="B114:F114"/>
    <mergeCell ref="I114:M114"/>
    <mergeCell ref="B112:F112"/>
    <mergeCell ref="I112:M112"/>
    <mergeCell ref="B115:F115"/>
    <mergeCell ref="I115:M115"/>
    <mergeCell ref="B116:F116"/>
    <mergeCell ref="I116:M116"/>
    <mergeCell ref="B99:E99"/>
    <mergeCell ref="I99:L99"/>
    <mergeCell ref="I122:L122"/>
    <mergeCell ref="I182:L182"/>
    <mergeCell ref="B179:E179"/>
    <mergeCell ref="I179:L179"/>
    <mergeCell ref="B176:E176"/>
    <mergeCell ref="B156:F156"/>
    <mergeCell ref="I156:M156"/>
    <mergeCell ref="B139:F139"/>
    <mergeCell ref="I139:M139"/>
    <mergeCell ref="B173:E173"/>
    <mergeCell ref="I173:L173"/>
    <mergeCell ref="I101:M101"/>
    <mergeCell ref="B100:E100"/>
    <mergeCell ref="I100:L100"/>
    <mergeCell ref="B121:E121"/>
    <mergeCell ref="I121:L121"/>
    <mergeCell ref="B119:E119"/>
    <mergeCell ref="I119:L119"/>
    <mergeCell ref="B101:F101"/>
    <mergeCell ref="B123:E123"/>
    <mergeCell ref="I123:L123"/>
    <mergeCell ref="B120:E120"/>
  </mergeCells>
  <dataValidations count="1">
    <dataValidation allowBlank="1" showInputMessage="1" showErrorMessage="1" prompt="O título da planilha está nesta célula. Insira o nome do cartão de crédito para atualizar o título" sqref="B1 B167 I112 B139 I167 I1 B29 B58 B199 I29 B84 I139 I199 I58 B112 I84" xr:uid="{00000000-0002-0000-0800-000000000000}"/>
  </dataValidations>
  <printOptions horizontalCentered="1"/>
  <pageMargins left="0" right="0" top="0" bottom="0" header="0" footer="0"/>
  <pageSetup paperSize="9" fitToHeight="0" orientation="landscape"/>
  <headerFooter scaleWithDoc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/>
    <pageSetUpPr fitToPage="1"/>
  </sheetPr>
  <dimension ref="B1:N32"/>
  <sheetViews>
    <sheetView topLeftCell="A3" zoomScale="110" workbookViewId="0">
      <selection activeCell="A2" sqref="A2:XFD29"/>
    </sheetView>
  </sheetViews>
  <sheetFormatPr defaultColWidth="8.88671875" defaultRowHeight="18.75" x14ac:dyDescent="0.4"/>
  <cols>
    <col min="1" max="1" width="2.21875" customWidth="1"/>
    <col min="2" max="2" width="17.6640625" customWidth="1"/>
    <col min="5" max="5" width="8.109375" customWidth="1"/>
    <col min="6" max="6" width="14.33203125" customWidth="1"/>
    <col min="7" max="7" width="1.6640625" customWidth="1"/>
    <col min="8" max="8" width="3.6640625" customWidth="1"/>
    <col min="9" max="9" width="17.6640625" customWidth="1"/>
    <col min="13" max="13" width="14" customWidth="1"/>
    <col min="14" max="14" width="1.6640625" customWidth="1"/>
  </cols>
  <sheetData>
    <row r="1" spans="2:14" ht="30.75" x14ac:dyDescent="0.4">
      <c r="B1" s="36"/>
      <c r="C1" s="40"/>
      <c r="D1" s="40"/>
      <c r="E1" s="40"/>
      <c r="F1" s="40"/>
    </row>
    <row r="2" spans="2:14" ht="47.25" customHeight="1" x14ac:dyDescent="0.4">
      <c r="B2" s="102" t="s">
        <v>96</v>
      </c>
      <c r="C2" s="102"/>
      <c r="D2" s="102"/>
      <c r="E2" s="102"/>
      <c r="F2" s="102"/>
      <c r="I2" s="102"/>
      <c r="J2" s="102"/>
      <c r="K2" s="102"/>
      <c r="L2" s="102"/>
      <c r="M2" s="102"/>
    </row>
    <row r="3" spans="2:14" ht="21" customHeight="1" x14ac:dyDescent="0.4">
      <c r="B3" s="110" t="s">
        <v>97</v>
      </c>
      <c r="C3" s="110"/>
      <c r="D3" s="110"/>
      <c r="E3" s="110"/>
      <c r="F3" s="110"/>
      <c r="G3" s="24"/>
      <c r="I3" s="110"/>
      <c r="J3" s="110"/>
      <c r="K3" s="110"/>
      <c r="L3" s="110"/>
      <c r="M3" s="110"/>
      <c r="N3" s="24"/>
    </row>
    <row r="4" spans="2:14" ht="21" customHeight="1" x14ac:dyDescent="0.4">
      <c r="B4" s="110" t="s">
        <v>98</v>
      </c>
      <c r="C4" s="110"/>
      <c r="D4" s="110"/>
      <c r="E4" s="110"/>
      <c r="F4" s="110"/>
      <c r="G4" s="24"/>
      <c r="I4" s="110"/>
      <c r="J4" s="110"/>
      <c r="K4" s="110"/>
      <c r="L4" s="110"/>
      <c r="M4" s="110"/>
      <c r="N4" s="24"/>
    </row>
    <row r="5" spans="2:14" ht="21" customHeight="1" x14ac:dyDescent="0.4">
      <c r="B5" s="110" t="s">
        <v>136</v>
      </c>
      <c r="C5" s="110"/>
      <c r="D5" s="110"/>
      <c r="E5" s="110"/>
      <c r="F5" s="110"/>
      <c r="G5" s="24"/>
      <c r="I5" s="110"/>
      <c r="J5" s="110"/>
      <c r="K5" s="110"/>
      <c r="L5" s="110"/>
      <c r="M5" s="110"/>
      <c r="N5" s="24"/>
    </row>
    <row r="6" spans="2:14" ht="18" customHeight="1" x14ac:dyDescent="0.4">
      <c r="B6" s="114" t="s">
        <v>100</v>
      </c>
      <c r="C6" s="115"/>
      <c r="D6" s="115"/>
      <c r="E6" s="115"/>
      <c r="F6" s="116"/>
      <c r="G6" s="32"/>
      <c r="I6" s="123"/>
      <c r="J6" s="123"/>
      <c r="K6" s="123"/>
      <c r="L6" s="123"/>
      <c r="M6" s="123"/>
      <c r="N6" s="32"/>
    </row>
    <row r="7" spans="2:14" ht="17.100000000000001" customHeight="1" x14ac:dyDescent="0.4">
      <c r="B7" s="111" t="s">
        <v>154</v>
      </c>
      <c r="C7" s="112"/>
      <c r="D7" s="112"/>
      <c r="E7" s="112"/>
      <c r="F7" s="113"/>
      <c r="G7" s="32"/>
      <c r="I7" s="100"/>
      <c r="J7" s="100"/>
      <c r="K7" s="100"/>
      <c r="L7" s="100"/>
      <c r="M7" s="100"/>
      <c r="N7" s="32"/>
    </row>
    <row r="8" spans="2:14" ht="17.100000000000001" customHeight="1" x14ac:dyDescent="0.4">
      <c r="B8" s="97" t="s">
        <v>155</v>
      </c>
      <c r="C8" s="98"/>
      <c r="D8" s="98"/>
      <c r="E8" s="98"/>
      <c r="F8" s="26">
        <v>1324.07</v>
      </c>
      <c r="I8" s="98"/>
      <c r="J8" s="98"/>
      <c r="K8" s="98"/>
      <c r="L8" s="98"/>
      <c r="M8" s="45"/>
    </row>
    <row r="9" spans="2:14" ht="17.100000000000001" customHeight="1" x14ac:dyDescent="0.4">
      <c r="B9" s="97" t="s">
        <v>156</v>
      </c>
      <c r="C9" s="98"/>
      <c r="D9" s="98"/>
      <c r="E9" s="98"/>
      <c r="F9" s="26">
        <v>8.9499999999999993</v>
      </c>
      <c r="I9" s="98"/>
      <c r="J9" s="98"/>
      <c r="K9" s="98"/>
      <c r="L9" s="98"/>
      <c r="M9" s="45"/>
    </row>
    <row r="10" spans="2:14" ht="17.100000000000001" customHeight="1" x14ac:dyDescent="0.4">
      <c r="B10" s="97" t="s">
        <v>157</v>
      </c>
      <c r="C10" s="98"/>
      <c r="D10" s="98"/>
      <c r="E10" s="98"/>
      <c r="F10" s="26">
        <v>1.94</v>
      </c>
      <c r="I10" s="98"/>
      <c r="J10" s="98"/>
      <c r="K10" s="98"/>
      <c r="L10" s="98"/>
      <c r="M10" s="45"/>
    </row>
    <row r="11" spans="2:14" ht="17.100000000000001" customHeight="1" x14ac:dyDescent="0.4">
      <c r="B11" s="97" t="s">
        <v>158</v>
      </c>
      <c r="C11" s="98"/>
      <c r="D11" s="98"/>
      <c r="E11" s="98"/>
      <c r="F11" s="26">
        <v>1161.27</v>
      </c>
      <c r="I11" s="107"/>
      <c r="J11" s="107"/>
      <c r="K11" s="107"/>
      <c r="L11" s="107"/>
      <c r="M11" s="45"/>
    </row>
    <row r="12" spans="2:14" ht="17.100000000000001" customHeight="1" x14ac:dyDescent="0.4">
      <c r="B12" s="97" t="s">
        <v>159</v>
      </c>
      <c r="C12" s="98"/>
      <c r="D12" s="98"/>
      <c r="E12" s="98"/>
      <c r="F12" s="26">
        <v>154.80000000000001</v>
      </c>
      <c r="I12" s="100"/>
      <c r="J12" s="100"/>
      <c r="K12" s="100"/>
      <c r="L12" s="100"/>
      <c r="M12" s="46"/>
    </row>
    <row r="13" spans="2:14" ht="17.100000000000001" customHeight="1" x14ac:dyDescent="0.4">
      <c r="B13" s="97" t="s">
        <v>160</v>
      </c>
      <c r="C13" s="98"/>
      <c r="D13" s="98"/>
      <c r="E13" s="98"/>
      <c r="F13" s="26">
        <v>1290.1199999999999</v>
      </c>
      <c r="I13" s="107"/>
      <c r="J13" s="107"/>
      <c r="K13" s="107"/>
      <c r="L13" s="107"/>
      <c r="M13" s="45"/>
    </row>
    <row r="14" spans="2:14" ht="17.100000000000001" customHeight="1" x14ac:dyDescent="0.4">
      <c r="B14" s="97" t="s">
        <v>161</v>
      </c>
      <c r="C14" s="98"/>
      <c r="D14" s="98"/>
      <c r="E14" s="98"/>
      <c r="F14" s="26">
        <v>1557.34</v>
      </c>
      <c r="I14" s="98"/>
      <c r="J14" s="98"/>
      <c r="K14" s="98"/>
      <c r="L14" s="98"/>
      <c r="M14" s="45"/>
    </row>
    <row r="15" spans="2:14" ht="17.100000000000001" customHeight="1" x14ac:dyDescent="0.4">
      <c r="B15" s="97" t="s">
        <v>162</v>
      </c>
      <c r="C15" s="98"/>
      <c r="D15" s="98"/>
      <c r="E15" s="98"/>
      <c r="F15" s="26">
        <v>906.2</v>
      </c>
      <c r="I15" s="98"/>
      <c r="J15" s="98"/>
      <c r="K15" s="98"/>
      <c r="L15" s="98"/>
      <c r="M15" s="45"/>
    </row>
    <row r="16" spans="2:14" ht="17.100000000000001" customHeight="1" x14ac:dyDescent="0.4">
      <c r="B16" s="97" t="s">
        <v>163</v>
      </c>
      <c r="C16" s="98"/>
      <c r="D16" s="98"/>
      <c r="E16" s="98"/>
      <c r="F16" s="26">
        <v>254.67</v>
      </c>
      <c r="I16" s="25"/>
      <c r="J16" s="25"/>
      <c r="K16" s="25"/>
      <c r="L16" s="25"/>
      <c r="M16" s="45"/>
    </row>
    <row r="17" spans="2:14" ht="17.100000000000001" customHeight="1" x14ac:dyDescent="0.4">
      <c r="B17" s="99" t="s">
        <v>107</v>
      </c>
      <c r="C17" s="100"/>
      <c r="D17" s="100"/>
      <c r="E17" s="100"/>
      <c r="F17" s="29"/>
      <c r="I17" s="98"/>
      <c r="J17" s="98"/>
      <c r="K17" s="98"/>
      <c r="L17" s="98"/>
      <c r="M17" s="45"/>
    </row>
    <row r="18" spans="2:14" ht="17.100000000000001" customHeight="1" x14ac:dyDescent="0.4">
      <c r="B18" s="97" t="s">
        <v>164</v>
      </c>
      <c r="C18" s="98"/>
      <c r="D18" s="98"/>
      <c r="E18" s="98"/>
      <c r="F18" s="26">
        <v>94.87</v>
      </c>
      <c r="I18" s="98"/>
      <c r="J18" s="98"/>
      <c r="K18" s="98"/>
      <c r="L18" s="98"/>
      <c r="M18" s="45"/>
    </row>
    <row r="19" spans="2:14" ht="17.100000000000001" customHeight="1" x14ac:dyDescent="0.4">
      <c r="B19" s="97" t="s">
        <v>165</v>
      </c>
      <c r="C19" s="98"/>
      <c r="D19" s="98"/>
      <c r="E19" s="98"/>
      <c r="F19" s="26">
        <v>1290.08</v>
      </c>
      <c r="I19" s="25"/>
      <c r="J19" s="25"/>
      <c r="K19" s="25"/>
      <c r="L19" s="25"/>
      <c r="M19" s="45"/>
    </row>
    <row r="20" spans="2:14" ht="17.100000000000001" customHeight="1" x14ac:dyDescent="0.4">
      <c r="B20" s="97" t="s">
        <v>166</v>
      </c>
      <c r="C20" s="98"/>
      <c r="D20" s="98"/>
      <c r="E20" s="98"/>
      <c r="F20" s="26">
        <v>500</v>
      </c>
      <c r="I20" s="120"/>
      <c r="J20" s="120"/>
      <c r="K20" s="120"/>
      <c r="L20" s="120"/>
      <c r="M20" s="47"/>
    </row>
    <row r="21" spans="2:14" ht="17.100000000000001" customHeight="1" x14ac:dyDescent="0.4">
      <c r="B21" s="121" t="s">
        <v>167</v>
      </c>
      <c r="C21" s="122"/>
      <c r="D21" s="122"/>
      <c r="E21" s="122"/>
      <c r="F21" s="26">
        <v>97.93</v>
      </c>
      <c r="I21" s="103"/>
      <c r="J21" s="103"/>
      <c r="K21" s="103"/>
      <c r="L21" s="103"/>
      <c r="M21" s="103"/>
    </row>
    <row r="22" spans="2:14" ht="17.100000000000001" customHeight="1" x14ac:dyDescent="0.3">
      <c r="B22" s="97" t="s">
        <v>168</v>
      </c>
      <c r="C22" s="98"/>
      <c r="D22" s="98"/>
      <c r="E22" s="98"/>
      <c r="F22" s="26">
        <v>78.8</v>
      </c>
      <c r="I22" s="34"/>
      <c r="J22" s="34"/>
      <c r="K22" s="34"/>
      <c r="L22" s="34"/>
      <c r="M22" s="34"/>
    </row>
    <row r="23" spans="2:14" ht="17.100000000000001" customHeight="1" x14ac:dyDescent="0.4">
      <c r="B23" s="97" t="s">
        <v>169</v>
      </c>
      <c r="C23" s="98"/>
      <c r="D23" s="98"/>
      <c r="E23" s="98"/>
      <c r="F23" s="26">
        <v>2061.84</v>
      </c>
      <c r="I23" s="33"/>
      <c r="J23" s="33"/>
      <c r="K23" s="33"/>
      <c r="L23" s="33"/>
      <c r="M23" s="33"/>
    </row>
    <row r="24" spans="2:14" ht="17.100000000000001" customHeight="1" x14ac:dyDescent="0.4">
      <c r="B24" s="104" t="s">
        <v>112</v>
      </c>
      <c r="C24" s="105"/>
      <c r="D24" s="105"/>
      <c r="E24" s="105"/>
      <c r="F24" s="30">
        <f>SUM(F8:F16)-SUM(F18:F23)</f>
        <v>2535.8399999999992</v>
      </c>
      <c r="I24" s="36"/>
      <c r="J24" s="37"/>
      <c r="K24" s="37"/>
      <c r="L24" s="37"/>
      <c r="M24" s="37"/>
    </row>
    <row r="25" spans="2:14" ht="46.5" customHeight="1" x14ac:dyDescent="0.4">
      <c r="B25" s="103" t="s">
        <v>170</v>
      </c>
      <c r="C25" s="103"/>
      <c r="D25" s="103"/>
      <c r="E25" s="103"/>
      <c r="F25" s="103"/>
      <c r="G25" s="38"/>
      <c r="I25" s="103"/>
      <c r="J25" s="103"/>
      <c r="K25" s="103"/>
      <c r="L25" s="103"/>
      <c r="M25" s="103"/>
      <c r="N25" s="39"/>
    </row>
    <row r="26" spans="2:14" ht="22.5" customHeight="1" x14ac:dyDescent="0.3">
      <c r="B26" s="109" t="s">
        <v>114</v>
      </c>
      <c r="C26" s="109"/>
      <c r="D26" s="109"/>
      <c r="E26" s="109"/>
      <c r="F26" s="109"/>
      <c r="G26" s="109"/>
      <c r="I26" s="109"/>
      <c r="J26" s="109"/>
      <c r="K26" s="109"/>
      <c r="L26" s="109"/>
      <c r="M26" s="109"/>
      <c r="N26" s="109"/>
    </row>
    <row r="27" spans="2:14" ht="34.5" customHeight="1" x14ac:dyDescent="0.4">
      <c r="B27" s="33"/>
      <c r="C27" s="35"/>
      <c r="D27" s="35"/>
      <c r="E27" s="35"/>
      <c r="F27" s="35"/>
      <c r="G27" s="35"/>
      <c r="I27" s="33"/>
      <c r="J27" s="33"/>
      <c r="K27" s="33"/>
      <c r="L27" s="33"/>
      <c r="M27" s="33"/>
      <c r="N27" s="33"/>
    </row>
    <row r="28" spans="2:14" ht="17.100000000000001" customHeight="1" x14ac:dyDescent="0.4">
      <c r="B28" s="36"/>
      <c r="C28" s="43" t="s">
        <v>171</v>
      </c>
      <c r="D28" s="43"/>
      <c r="E28" s="43"/>
      <c r="F28" s="43"/>
      <c r="G28" s="36"/>
      <c r="I28" s="36"/>
      <c r="J28" s="119"/>
      <c r="K28" s="119"/>
      <c r="L28" s="119"/>
      <c r="M28" s="119"/>
      <c r="N28" s="36"/>
    </row>
    <row r="29" spans="2:14" ht="17.100000000000001" customHeight="1" x14ac:dyDescent="0.4">
      <c r="G29" s="36"/>
      <c r="N29" s="36"/>
    </row>
    <row r="30" spans="2:14" ht="17.100000000000001" customHeight="1" x14ac:dyDescent="0.4">
      <c r="G30" s="36"/>
      <c r="N30" s="36"/>
    </row>
    <row r="31" spans="2:14" ht="17.100000000000001" customHeight="1" x14ac:dyDescent="0.4">
      <c r="G31" s="36"/>
      <c r="N31" s="36"/>
    </row>
    <row r="32" spans="2:14" ht="17.100000000000001" customHeight="1" x14ac:dyDescent="0.4">
      <c r="G32" s="36"/>
      <c r="N32" s="36"/>
    </row>
  </sheetData>
  <mergeCells count="46">
    <mergeCell ref="B2:F2"/>
    <mergeCell ref="I2:M2"/>
    <mergeCell ref="B3:F3"/>
    <mergeCell ref="I3:M3"/>
    <mergeCell ref="B4:F4"/>
    <mergeCell ref="I4:M4"/>
    <mergeCell ref="B5:F5"/>
    <mergeCell ref="I5:M5"/>
    <mergeCell ref="B6:F6"/>
    <mergeCell ref="I6:M6"/>
    <mergeCell ref="B7:F7"/>
    <mergeCell ref="I7:M7"/>
    <mergeCell ref="B8:E8"/>
    <mergeCell ref="I8:L8"/>
    <mergeCell ref="B9:E9"/>
    <mergeCell ref="I9:L9"/>
    <mergeCell ref="B10:E10"/>
    <mergeCell ref="I10:L10"/>
    <mergeCell ref="B11:E11"/>
    <mergeCell ref="I11:L11"/>
    <mergeCell ref="B12:E12"/>
    <mergeCell ref="I12:L12"/>
    <mergeCell ref="B13:E13"/>
    <mergeCell ref="I13:L13"/>
    <mergeCell ref="B14:E14"/>
    <mergeCell ref="I14:L14"/>
    <mergeCell ref="B15:E15"/>
    <mergeCell ref="I15:L15"/>
    <mergeCell ref="B16:E16"/>
    <mergeCell ref="B17:E17"/>
    <mergeCell ref="I17:L17"/>
    <mergeCell ref="B18:E18"/>
    <mergeCell ref="I18:L18"/>
    <mergeCell ref="B19:E19"/>
    <mergeCell ref="B20:E20"/>
    <mergeCell ref="I20:L20"/>
    <mergeCell ref="B21:E21"/>
    <mergeCell ref="I21:M21"/>
    <mergeCell ref="B22:E22"/>
    <mergeCell ref="J28:M28"/>
    <mergeCell ref="B23:E23"/>
    <mergeCell ref="B24:E24"/>
    <mergeCell ref="B25:F25"/>
    <mergeCell ref="I25:M25"/>
    <mergeCell ref="B26:G26"/>
    <mergeCell ref="I26:N26"/>
  </mergeCells>
  <dataValidations count="1">
    <dataValidation allowBlank="1" showInputMessage="1" showErrorMessage="1" prompt="O título da planilha está nesta célula. Insira o nome do cartão de crédito para atualizar o título" sqref="B2 I2" xr:uid="{00000000-0002-0000-0900-000000000000}"/>
  </dataValidations>
  <printOptions horizontalCentered="1"/>
  <pageMargins left="0" right="0" top="0" bottom="0" header="0" footer="0"/>
  <pageSetup paperSize="9" scale="96" fitToHeight="0" orientation="landscape" horizontalDpi="4294967293"/>
  <headerFooter scaleWithDoc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/>
  </sheetPr>
  <dimension ref="B1:P157"/>
  <sheetViews>
    <sheetView topLeftCell="A40" zoomScale="110" workbookViewId="0">
      <selection activeCell="I154" sqref="I154:M154"/>
    </sheetView>
  </sheetViews>
  <sheetFormatPr defaultColWidth="8.88671875" defaultRowHeight="18.75" x14ac:dyDescent="0.4"/>
  <cols>
    <col min="1" max="1" width="2.21875" customWidth="1"/>
    <col min="2" max="2" width="17.6640625" customWidth="1"/>
    <col min="5" max="5" width="8.109375" customWidth="1"/>
    <col min="6" max="6" width="14.33203125" customWidth="1"/>
    <col min="7" max="7" width="1.6640625" customWidth="1"/>
    <col min="8" max="8" width="2.21875" customWidth="1"/>
    <col min="9" max="9" width="17.6640625" customWidth="1"/>
    <col min="13" max="13" width="14" customWidth="1"/>
    <col min="14" max="14" width="1.6640625" customWidth="1"/>
    <col min="15" max="16" width="10.77734375" bestFit="1" customWidth="1"/>
  </cols>
  <sheetData>
    <row r="1" spans="2:14" ht="43.5" customHeight="1" x14ac:dyDescent="0.4">
      <c r="B1" s="102" t="s">
        <v>96</v>
      </c>
      <c r="C1" s="102"/>
      <c r="D1" s="102"/>
      <c r="E1" s="102"/>
      <c r="F1" s="102"/>
      <c r="I1" s="102" t="s">
        <v>96</v>
      </c>
      <c r="J1" s="102"/>
      <c r="K1" s="102"/>
      <c r="L1" s="102"/>
      <c r="M1" s="102"/>
    </row>
    <row r="2" spans="2:14" ht="21" customHeight="1" x14ac:dyDescent="0.4">
      <c r="B2" s="110" t="s">
        <v>97</v>
      </c>
      <c r="C2" s="110"/>
      <c r="D2" s="110"/>
      <c r="E2" s="110"/>
      <c r="F2" s="110"/>
      <c r="G2" s="24"/>
      <c r="I2" s="110" t="s">
        <v>97</v>
      </c>
      <c r="J2" s="110"/>
      <c r="K2" s="110"/>
      <c r="L2" s="110"/>
      <c r="M2" s="110"/>
      <c r="N2" s="24"/>
    </row>
    <row r="3" spans="2:14" ht="21" customHeight="1" x14ac:dyDescent="0.4">
      <c r="B3" s="110" t="s">
        <v>98</v>
      </c>
      <c r="C3" s="110"/>
      <c r="D3" s="110"/>
      <c r="E3" s="110"/>
      <c r="F3" s="110"/>
      <c r="G3" s="24"/>
      <c r="I3" s="110" t="s">
        <v>98</v>
      </c>
      <c r="J3" s="110"/>
      <c r="K3" s="110"/>
      <c r="L3" s="110"/>
      <c r="M3" s="110"/>
      <c r="N3" s="24"/>
    </row>
    <row r="4" spans="2:14" ht="21" customHeight="1" x14ac:dyDescent="0.4">
      <c r="B4" s="110" t="s">
        <v>99</v>
      </c>
      <c r="C4" s="110"/>
      <c r="D4" s="110"/>
      <c r="E4" s="110"/>
      <c r="F4" s="110"/>
      <c r="G4" s="24"/>
      <c r="I4" s="110" t="s">
        <v>99</v>
      </c>
      <c r="J4" s="110"/>
      <c r="K4" s="110"/>
      <c r="L4" s="110"/>
      <c r="M4" s="110"/>
      <c r="N4" s="24"/>
    </row>
    <row r="5" spans="2:14" ht="18" customHeight="1" x14ac:dyDescent="0.4">
      <c r="B5" s="114" t="s">
        <v>100</v>
      </c>
      <c r="C5" s="115"/>
      <c r="D5" s="115"/>
      <c r="E5" s="115"/>
      <c r="F5" s="116"/>
      <c r="I5" s="114" t="s">
        <v>100</v>
      </c>
      <c r="J5" s="115"/>
      <c r="K5" s="115"/>
      <c r="L5" s="115"/>
      <c r="M5" s="116"/>
    </row>
    <row r="6" spans="2:14" ht="18" customHeight="1" x14ac:dyDescent="0.4">
      <c r="B6" s="111" t="s">
        <v>101</v>
      </c>
      <c r="C6" s="112"/>
      <c r="D6" s="112"/>
      <c r="E6" s="112"/>
      <c r="F6" s="113"/>
      <c r="I6" s="111" t="s">
        <v>101</v>
      </c>
      <c r="J6" s="112"/>
      <c r="K6" s="112"/>
      <c r="L6" s="112"/>
      <c r="M6" s="113"/>
    </row>
    <row r="7" spans="2:14" x14ac:dyDescent="0.4">
      <c r="B7" s="97" t="s">
        <v>172</v>
      </c>
      <c r="C7" s="98"/>
      <c r="D7" s="98"/>
      <c r="E7" s="98"/>
      <c r="F7" s="26">
        <v>2121.12</v>
      </c>
      <c r="I7" s="97" t="s">
        <v>172</v>
      </c>
      <c r="J7" s="98"/>
      <c r="K7" s="98"/>
      <c r="L7" s="98"/>
      <c r="M7" s="26">
        <v>2121.12</v>
      </c>
    </row>
    <row r="8" spans="2:14" x14ac:dyDescent="0.4">
      <c r="B8" s="97" t="s">
        <v>103</v>
      </c>
      <c r="C8" s="98"/>
      <c r="D8" s="98"/>
      <c r="E8" s="98"/>
      <c r="F8" s="26">
        <f>3000-F7</f>
        <v>878.88000000000011</v>
      </c>
      <c r="I8" s="97" t="s">
        <v>103</v>
      </c>
      <c r="J8" s="98"/>
      <c r="K8" s="98"/>
      <c r="L8" s="98"/>
      <c r="M8" s="26">
        <f>3000-M7</f>
        <v>878.88000000000011</v>
      </c>
    </row>
    <row r="9" spans="2:14" x14ac:dyDescent="0.4">
      <c r="B9" s="97" t="s">
        <v>104</v>
      </c>
      <c r="C9" s="98"/>
      <c r="D9" s="98"/>
      <c r="E9" s="98"/>
      <c r="F9" s="26">
        <v>200</v>
      </c>
      <c r="I9" s="97" t="s">
        <v>104</v>
      </c>
      <c r="J9" s="98"/>
      <c r="K9" s="98"/>
      <c r="L9" s="98"/>
      <c r="M9" s="26">
        <v>200</v>
      </c>
    </row>
    <row r="10" spans="2:14" x14ac:dyDescent="0.4">
      <c r="B10" s="97" t="s">
        <v>105</v>
      </c>
      <c r="C10" s="98"/>
      <c r="D10" s="98"/>
      <c r="E10" s="98"/>
      <c r="F10" s="26">
        <v>625.01</v>
      </c>
      <c r="I10" s="97" t="s">
        <v>105</v>
      </c>
      <c r="J10" s="98"/>
      <c r="K10" s="98"/>
      <c r="L10" s="98"/>
      <c r="M10" s="26">
        <v>625.01</v>
      </c>
    </row>
    <row r="11" spans="2:14" x14ac:dyDescent="0.4">
      <c r="B11" s="97" t="s">
        <v>106</v>
      </c>
      <c r="C11" s="98"/>
      <c r="D11" s="98"/>
      <c r="E11" s="98"/>
      <c r="F11" s="26">
        <f>1.59+6.36</f>
        <v>7.95</v>
      </c>
      <c r="I11" s="97" t="s">
        <v>106</v>
      </c>
      <c r="J11" s="98"/>
      <c r="K11" s="98"/>
      <c r="L11" s="98"/>
      <c r="M11" s="26">
        <f>1.59+6.36</f>
        <v>7.95</v>
      </c>
    </row>
    <row r="12" spans="2:14" ht="18" customHeight="1" x14ac:dyDescent="0.4">
      <c r="B12" s="99" t="s">
        <v>107</v>
      </c>
      <c r="C12" s="100"/>
      <c r="D12" s="100"/>
      <c r="E12" s="100"/>
      <c r="F12" s="29"/>
      <c r="I12" s="99" t="s">
        <v>107</v>
      </c>
      <c r="J12" s="100"/>
      <c r="K12" s="100"/>
      <c r="L12" s="100"/>
      <c r="M12" s="29"/>
    </row>
    <row r="13" spans="2:14" ht="18" customHeight="1" x14ac:dyDescent="0.4">
      <c r="B13" s="97" t="s">
        <v>109</v>
      </c>
      <c r="C13" s="98"/>
      <c r="D13" s="98"/>
      <c r="E13" s="98"/>
      <c r="F13" s="26">
        <v>173.09</v>
      </c>
      <c r="I13" s="97" t="s">
        <v>109</v>
      </c>
      <c r="J13" s="98"/>
      <c r="K13" s="98"/>
      <c r="L13" s="98"/>
      <c r="M13" s="26">
        <v>173.09</v>
      </c>
    </row>
    <row r="14" spans="2:14" ht="18" customHeight="1" x14ac:dyDescent="0.4">
      <c r="B14" s="97" t="s">
        <v>110</v>
      </c>
      <c r="C14" s="98"/>
      <c r="D14" s="98"/>
      <c r="E14" s="98"/>
      <c r="F14" s="26">
        <f>159.37/2</f>
        <v>79.685000000000002</v>
      </c>
      <c r="I14" s="97" t="s">
        <v>110</v>
      </c>
      <c r="J14" s="98"/>
      <c r="K14" s="98"/>
      <c r="L14" s="98"/>
      <c r="M14" s="26">
        <f>159.37/2</f>
        <v>79.685000000000002</v>
      </c>
    </row>
    <row r="15" spans="2:14" ht="18" customHeight="1" x14ac:dyDescent="0.4">
      <c r="B15" s="97" t="s">
        <v>173</v>
      </c>
      <c r="C15" s="98"/>
      <c r="D15" s="98"/>
      <c r="E15" s="98"/>
      <c r="F15" s="26">
        <v>110</v>
      </c>
      <c r="I15" s="97" t="s">
        <v>173</v>
      </c>
      <c r="J15" s="98"/>
      <c r="K15" s="98"/>
      <c r="L15" s="98"/>
      <c r="M15" s="26">
        <v>110</v>
      </c>
    </row>
    <row r="16" spans="2:14" x14ac:dyDescent="0.4">
      <c r="B16" s="97" t="s">
        <v>111</v>
      </c>
      <c r="C16" s="98"/>
      <c r="D16" s="98"/>
      <c r="E16" s="98"/>
      <c r="F16" s="26">
        <v>3.76</v>
      </c>
      <c r="I16" s="97" t="s">
        <v>111</v>
      </c>
      <c r="J16" s="98"/>
      <c r="K16" s="98"/>
      <c r="L16" s="98"/>
      <c r="M16" s="26">
        <v>3.76</v>
      </c>
    </row>
    <row r="17" spans="2:14" ht="18" customHeight="1" x14ac:dyDescent="0.4">
      <c r="B17" s="104" t="s">
        <v>112</v>
      </c>
      <c r="C17" s="105"/>
      <c r="D17" s="105"/>
      <c r="E17" s="105"/>
      <c r="F17" s="30">
        <f>SUM(F7:F11)-SUM(F13:F16)</f>
        <v>3466.4250000000002</v>
      </c>
      <c r="I17" s="104" t="s">
        <v>112</v>
      </c>
      <c r="J17" s="105"/>
      <c r="K17" s="105"/>
      <c r="L17" s="105"/>
      <c r="M17" s="30">
        <f>SUM(M7:M11)-SUM(M13:M16)</f>
        <v>3466.4250000000002</v>
      </c>
    </row>
    <row r="18" spans="2:14" ht="48.95" customHeight="1" x14ac:dyDescent="0.4">
      <c r="B18" s="103" t="s">
        <v>174</v>
      </c>
      <c r="C18" s="103"/>
      <c r="D18" s="103"/>
      <c r="E18" s="103"/>
      <c r="F18" s="103"/>
      <c r="G18" s="31"/>
      <c r="H18" s="32"/>
      <c r="I18" s="103" t="s">
        <v>174</v>
      </c>
      <c r="J18" s="103"/>
      <c r="K18" s="103"/>
      <c r="L18" s="103"/>
      <c r="M18" s="103"/>
      <c r="N18" s="33"/>
    </row>
    <row r="19" spans="2:14" ht="22.5" customHeight="1" x14ac:dyDescent="0.3">
      <c r="B19" s="109" t="s">
        <v>114</v>
      </c>
      <c r="C19" s="109"/>
      <c r="D19" s="109"/>
      <c r="E19" s="109"/>
      <c r="F19" s="109"/>
      <c r="G19" s="109"/>
      <c r="I19" s="109" t="s">
        <v>114</v>
      </c>
      <c r="J19" s="109"/>
      <c r="K19" s="109"/>
      <c r="L19" s="109"/>
      <c r="M19" s="109"/>
      <c r="N19" s="109"/>
    </row>
    <row r="20" spans="2:14" ht="32.25" customHeight="1" x14ac:dyDescent="0.4">
      <c r="B20" s="33"/>
      <c r="C20" s="35"/>
      <c r="D20" s="35"/>
      <c r="E20" s="35"/>
      <c r="F20" s="35"/>
      <c r="G20" s="35"/>
      <c r="I20" s="33"/>
      <c r="J20" s="35"/>
      <c r="K20" s="35"/>
      <c r="L20" s="35"/>
      <c r="M20" s="35"/>
      <c r="N20" s="35"/>
    </row>
    <row r="21" spans="2:14" ht="16.899999999999999" customHeight="1" x14ac:dyDescent="0.4">
      <c r="B21" s="36"/>
      <c r="C21" s="108" t="s">
        <v>115</v>
      </c>
      <c r="D21" s="108"/>
      <c r="E21" s="108"/>
      <c r="F21" s="108"/>
      <c r="G21" s="36"/>
      <c r="I21" s="36"/>
      <c r="J21" s="108" t="s">
        <v>115</v>
      </c>
      <c r="K21" s="108"/>
      <c r="L21" s="108"/>
      <c r="M21" s="108"/>
      <c r="N21" s="36"/>
    </row>
    <row r="22" spans="2:14" ht="16.899999999999999" customHeight="1" x14ac:dyDescent="0.4">
      <c r="B22" s="36"/>
      <c r="C22" s="37"/>
      <c r="D22" s="37"/>
      <c r="E22" s="37"/>
      <c r="F22" s="37"/>
      <c r="G22" s="36"/>
      <c r="I22" s="36"/>
      <c r="J22" s="37"/>
      <c r="K22" s="37"/>
      <c r="L22" s="37"/>
      <c r="M22" s="37"/>
      <c r="N22" s="36"/>
    </row>
    <row r="23" spans="2:14" ht="16.899999999999999" customHeight="1" x14ac:dyDescent="0.4">
      <c r="B23" s="36"/>
      <c r="C23" s="37"/>
      <c r="D23" s="37"/>
      <c r="E23" s="37"/>
      <c r="F23" s="37"/>
      <c r="G23" s="36"/>
      <c r="I23" s="36"/>
      <c r="J23" s="37"/>
      <c r="K23" s="37"/>
      <c r="L23" s="37"/>
      <c r="M23" s="37"/>
      <c r="N23" s="36"/>
    </row>
    <row r="24" spans="2:14" ht="16.899999999999999" customHeight="1" x14ac:dyDescent="0.4">
      <c r="B24" s="36"/>
      <c r="C24" s="37"/>
      <c r="D24" s="37"/>
      <c r="E24" s="37"/>
      <c r="F24" s="37"/>
      <c r="G24" s="36"/>
      <c r="I24" s="36"/>
      <c r="J24" s="37"/>
      <c r="K24" s="37"/>
      <c r="L24" s="37"/>
      <c r="M24" s="37"/>
      <c r="N24" s="36"/>
    </row>
    <row r="25" spans="2:14" ht="16.899999999999999" customHeight="1" x14ac:dyDescent="0.4">
      <c r="B25" s="36"/>
      <c r="C25" s="37"/>
      <c r="D25" s="37"/>
      <c r="E25" s="37"/>
      <c r="F25" s="37"/>
      <c r="G25" s="36"/>
      <c r="I25" s="36"/>
      <c r="J25" s="37"/>
      <c r="K25" s="37"/>
      <c r="L25" s="37"/>
      <c r="M25" s="37"/>
      <c r="N25" s="36"/>
    </row>
    <row r="26" spans="2:14" ht="16.899999999999999" customHeight="1" x14ac:dyDescent="0.4">
      <c r="B26" s="36"/>
      <c r="C26" s="37"/>
      <c r="D26" s="37"/>
      <c r="E26" s="37"/>
      <c r="F26" s="37"/>
      <c r="G26" s="36"/>
      <c r="I26" s="36"/>
      <c r="J26" s="37"/>
      <c r="K26" s="37"/>
      <c r="L26" s="37"/>
      <c r="M26" s="37"/>
      <c r="N26" s="36"/>
    </row>
    <row r="27" spans="2:14" ht="16.899999999999999" customHeight="1" x14ac:dyDescent="0.4">
      <c r="B27" s="36"/>
      <c r="C27" s="37"/>
      <c r="D27" s="37"/>
      <c r="E27" s="37"/>
      <c r="F27" s="37"/>
      <c r="G27" s="36"/>
      <c r="I27" s="36"/>
      <c r="J27" s="37"/>
      <c r="K27" s="37"/>
      <c r="L27" s="37"/>
      <c r="M27" s="37"/>
      <c r="N27" s="36"/>
    </row>
    <row r="28" spans="2:14" ht="16.899999999999999" customHeight="1" x14ac:dyDescent="0.4">
      <c r="B28" s="36"/>
      <c r="C28" s="37"/>
      <c r="D28" s="37"/>
      <c r="E28" s="37"/>
      <c r="F28" s="37"/>
      <c r="G28" s="36"/>
      <c r="I28" s="36"/>
      <c r="J28" s="37"/>
      <c r="K28" s="37"/>
      <c r="L28" s="37"/>
      <c r="M28" s="37"/>
      <c r="N28" s="36"/>
    </row>
    <row r="29" spans="2:14" ht="47.25" customHeight="1" x14ac:dyDescent="0.4">
      <c r="B29" s="102" t="s">
        <v>96</v>
      </c>
      <c r="C29" s="102"/>
      <c r="D29" s="102"/>
      <c r="E29" s="102"/>
      <c r="F29" s="102"/>
      <c r="I29" s="102" t="s">
        <v>96</v>
      </c>
      <c r="J29" s="102"/>
      <c r="K29" s="102"/>
      <c r="L29" s="102"/>
      <c r="M29" s="102"/>
    </row>
    <row r="30" spans="2:14" ht="21" customHeight="1" x14ac:dyDescent="0.4">
      <c r="B30" s="110" t="s">
        <v>97</v>
      </c>
      <c r="C30" s="110"/>
      <c r="D30" s="110"/>
      <c r="E30" s="110"/>
      <c r="F30" s="110"/>
      <c r="G30" s="24"/>
      <c r="I30" s="110" t="s">
        <v>97</v>
      </c>
      <c r="J30" s="110"/>
      <c r="K30" s="110"/>
      <c r="L30" s="110"/>
      <c r="M30" s="110"/>
      <c r="N30" s="24"/>
    </row>
    <row r="31" spans="2:14" ht="21" customHeight="1" x14ac:dyDescent="0.4">
      <c r="B31" s="110" t="s">
        <v>98</v>
      </c>
      <c r="C31" s="110"/>
      <c r="D31" s="110"/>
      <c r="E31" s="110"/>
      <c r="F31" s="110"/>
      <c r="G31" s="24"/>
      <c r="I31" s="110" t="s">
        <v>98</v>
      </c>
      <c r="J31" s="110"/>
      <c r="K31" s="110"/>
      <c r="L31" s="110"/>
      <c r="M31" s="110"/>
      <c r="N31" s="24"/>
    </row>
    <row r="32" spans="2:14" ht="21" customHeight="1" x14ac:dyDescent="0.4">
      <c r="B32" s="110" t="s">
        <v>116</v>
      </c>
      <c r="C32" s="110"/>
      <c r="D32" s="110"/>
      <c r="E32" s="110"/>
      <c r="F32" s="110"/>
      <c r="G32" s="24"/>
      <c r="I32" s="110" t="s">
        <v>116</v>
      </c>
      <c r="J32" s="110"/>
      <c r="K32" s="110"/>
      <c r="L32" s="110"/>
      <c r="M32" s="110"/>
      <c r="N32" s="24"/>
    </row>
    <row r="33" spans="2:14" ht="18" customHeight="1" x14ac:dyDescent="0.4">
      <c r="B33" s="114" t="s">
        <v>100</v>
      </c>
      <c r="C33" s="115"/>
      <c r="D33" s="115"/>
      <c r="E33" s="115"/>
      <c r="F33" s="116"/>
      <c r="G33" s="32"/>
      <c r="I33" s="114" t="s">
        <v>100</v>
      </c>
      <c r="J33" s="115"/>
      <c r="K33" s="115"/>
      <c r="L33" s="115"/>
      <c r="M33" s="116"/>
      <c r="N33" s="32"/>
    </row>
    <row r="34" spans="2:14" ht="18" customHeight="1" x14ac:dyDescent="0.4">
      <c r="B34" s="111" t="s">
        <v>101</v>
      </c>
      <c r="C34" s="112"/>
      <c r="D34" s="112"/>
      <c r="E34" s="112"/>
      <c r="F34" s="113"/>
      <c r="G34" s="32"/>
      <c r="I34" s="111" t="s">
        <v>101</v>
      </c>
      <c r="J34" s="112"/>
      <c r="K34" s="112"/>
      <c r="L34" s="112"/>
      <c r="M34" s="113"/>
      <c r="N34" s="32"/>
    </row>
    <row r="35" spans="2:14" ht="18" customHeight="1" x14ac:dyDescent="0.4">
      <c r="B35" s="97" t="s">
        <v>172</v>
      </c>
      <c r="C35" s="98"/>
      <c r="D35" s="98"/>
      <c r="E35" s="98"/>
      <c r="F35" s="26">
        <v>2054.23</v>
      </c>
      <c r="I35" s="97" t="s">
        <v>172</v>
      </c>
      <c r="J35" s="98"/>
      <c r="K35" s="98"/>
      <c r="L35" s="98"/>
      <c r="M35" s="26">
        <v>2054.23</v>
      </c>
    </row>
    <row r="36" spans="2:14" ht="18" customHeight="1" x14ac:dyDescent="0.4">
      <c r="B36" s="97" t="s">
        <v>103</v>
      </c>
      <c r="C36" s="98"/>
      <c r="D36" s="98"/>
      <c r="E36" s="98"/>
      <c r="F36" s="26">
        <f>2500-F35</f>
        <v>445.77</v>
      </c>
      <c r="I36" s="97" t="s">
        <v>103</v>
      </c>
      <c r="J36" s="98"/>
      <c r="K36" s="98"/>
      <c r="L36" s="98"/>
      <c r="M36" s="26">
        <f>2500-M35</f>
        <v>445.77</v>
      </c>
    </row>
    <row r="37" spans="2:14" ht="18" customHeight="1" x14ac:dyDescent="0.4">
      <c r="B37" s="97" t="s">
        <v>117</v>
      </c>
      <c r="C37" s="98"/>
      <c r="D37" s="98"/>
      <c r="E37" s="98"/>
      <c r="F37" s="26">
        <v>100</v>
      </c>
      <c r="I37" s="97" t="s">
        <v>117</v>
      </c>
      <c r="J37" s="98"/>
      <c r="K37" s="98"/>
      <c r="L37" s="98"/>
      <c r="M37" s="26">
        <v>100</v>
      </c>
    </row>
    <row r="38" spans="2:14" ht="18" customHeight="1" x14ac:dyDescent="0.4">
      <c r="B38" s="99" t="s">
        <v>107</v>
      </c>
      <c r="C38" s="100"/>
      <c r="D38" s="100"/>
      <c r="E38" s="100"/>
      <c r="F38" s="29"/>
      <c r="I38" s="99" t="s">
        <v>107</v>
      </c>
      <c r="J38" s="100"/>
      <c r="K38" s="100"/>
      <c r="L38" s="100"/>
      <c r="M38" s="29"/>
    </row>
    <row r="39" spans="2:14" ht="18" hidden="1" customHeight="1" x14ac:dyDescent="0.4">
      <c r="B39" s="97" t="s">
        <v>119</v>
      </c>
      <c r="C39" s="98"/>
      <c r="D39" s="98"/>
      <c r="E39" s="98"/>
      <c r="F39" s="26"/>
      <c r="I39" s="97" t="s">
        <v>119</v>
      </c>
      <c r="J39" s="98"/>
      <c r="K39" s="98"/>
      <c r="L39" s="98"/>
      <c r="M39" s="26"/>
    </row>
    <row r="40" spans="2:14" ht="18" customHeight="1" x14ac:dyDescent="0.4">
      <c r="B40" s="97" t="s">
        <v>125</v>
      </c>
      <c r="C40" s="98"/>
      <c r="D40" s="98"/>
      <c r="E40" s="98"/>
      <c r="F40" s="26">
        <v>59.9</v>
      </c>
      <c r="I40" s="97" t="s">
        <v>125</v>
      </c>
      <c r="J40" s="98"/>
      <c r="K40" s="98"/>
      <c r="L40" s="98"/>
      <c r="M40" s="26">
        <v>59.9</v>
      </c>
    </row>
    <row r="41" spans="2:14" ht="18" customHeight="1" x14ac:dyDescent="0.4">
      <c r="B41" s="97" t="s">
        <v>110</v>
      </c>
      <c r="C41" s="98"/>
      <c r="D41" s="98"/>
      <c r="E41" s="98"/>
      <c r="F41" s="26">
        <v>162.80000000000001</v>
      </c>
      <c r="I41" s="97" t="s">
        <v>110</v>
      </c>
      <c r="J41" s="98"/>
      <c r="K41" s="98"/>
      <c r="L41" s="98"/>
      <c r="M41" s="26">
        <v>162.80000000000001</v>
      </c>
    </row>
    <row r="42" spans="2:14" ht="18" customHeight="1" x14ac:dyDescent="0.4">
      <c r="B42" s="104" t="s">
        <v>112</v>
      </c>
      <c r="C42" s="105"/>
      <c r="D42" s="105"/>
      <c r="E42" s="105"/>
      <c r="F42" s="30">
        <f>SUM(F35:F37)-SUM(F39:F41)</f>
        <v>2377.3000000000002</v>
      </c>
      <c r="I42" s="104" t="s">
        <v>112</v>
      </c>
      <c r="J42" s="105"/>
      <c r="K42" s="105"/>
      <c r="L42" s="105"/>
      <c r="M42" s="30">
        <f>SUM(M35:M37)-SUM(M39:M41)</f>
        <v>2377.3000000000002</v>
      </c>
    </row>
    <row r="43" spans="2:14" ht="48.95" customHeight="1" x14ac:dyDescent="0.4">
      <c r="B43" s="103" t="s">
        <v>175</v>
      </c>
      <c r="C43" s="103"/>
      <c r="D43" s="103"/>
      <c r="E43" s="103"/>
      <c r="F43" s="103"/>
      <c r="G43" s="38"/>
      <c r="I43" s="103" t="s">
        <v>175</v>
      </c>
      <c r="J43" s="103"/>
      <c r="K43" s="103"/>
      <c r="L43" s="103"/>
      <c r="M43" s="103"/>
      <c r="N43" s="39"/>
    </row>
    <row r="44" spans="2:14" ht="22.5" customHeight="1" x14ac:dyDescent="0.3">
      <c r="B44" s="109" t="s">
        <v>114</v>
      </c>
      <c r="C44" s="109"/>
      <c r="D44" s="109"/>
      <c r="E44" s="109"/>
      <c r="F44" s="109"/>
      <c r="G44" s="109"/>
      <c r="I44" s="109" t="s">
        <v>114</v>
      </c>
      <c r="J44" s="109"/>
      <c r="K44" s="109"/>
      <c r="L44" s="109"/>
      <c r="M44" s="109"/>
      <c r="N44" s="109"/>
    </row>
    <row r="45" spans="2:14" ht="42.75" customHeight="1" x14ac:dyDescent="0.4">
      <c r="B45" s="33"/>
      <c r="C45" s="35"/>
      <c r="D45" s="35"/>
      <c r="E45" s="35"/>
      <c r="F45" s="35"/>
      <c r="G45" s="35"/>
      <c r="I45" s="33"/>
      <c r="J45" s="35"/>
      <c r="K45" s="35"/>
      <c r="L45" s="35"/>
      <c r="M45" s="35"/>
      <c r="N45" s="35"/>
    </row>
    <row r="46" spans="2:14" ht="17.100000000000001" customHeight="1" x14ac:dyDescent="0.4">
      <c r="B46" s="40"/>
      <c r="C46" s="108" t="s">
        <v>121</v>
      </c>
      <c r="D46" s="108"/>
      <c r="E46" s="108"/>
      <c r="F46" s="108"/>
      <c r="G46" s="40"/>
      <c r="I46" s="40"/>
      <c r="J46" s="108" t="s">
        <v>121</v>
      </c>
      <c r="K46" s="108"/>
      <c r="L46" s="108"/>
      <c r="M46" s="108"/>
      <c r="N46" s="40"/>
    </row>
    <row r="47" spans="2:14" ht="17.100000000000001" customHeight="1" x14ac:dyDescent="0.4">
      <c r="B47" s="40"/>
      <c r="C47" s="37"/>
      <c r="D47" s="37"/>
      <c r="E47" s="37"/>
      <c r="F47" s="37"/>
      <c r="G47" s="40"/>
      <c r="I47" s="40"/>
      <c r="J47" s="37"/>
      <c r="K47" s="37"/>
      <c r="L47" s="37"/>
      <c r="M47" s="37"/>
      <c r="N47" s="40"/>
    </row>
    <row r="48" spans="2:14" ht="17.100000000000001" customHeight="1" x14ac:dyDescent="0.4">
      <c r="B48" s="40"/>
      <c r="C48" s="37"/>
      <c r="D48" s="37"/>
      <c r="E48" s="37"/>
      <c r="F48" s="37"/>
      <c r="G48" s="40"/>
      <c r="I48" s="40"/>
      <c r="J48" s="37"/>
      <c r="K48" s="37"/>
      <c r="L48" s="37"/>
      <c r="M48" s="37"/>
      <c r="N48" s="40"/>
    </row>
    <row r="49" spans="2:14" ht="17.100000000000001" customHeight="1" x14ac:dyDescent="0.4">
      <c r="B49" s="40"/>
      <c r="C49" s="37"/>
      <c r="D49" s="37"/>
      <c r="E49" s="37"/>
      <c r="F49" s="37"/>
      <c r="G49" s="40"/>
      <c r="I49" s="40"/>
      <c r="J49" s="37"/>
      <c r="K49" s="37"/>
      <c r="L49" s="37"/>
      <c r="M49" s="37"/>
      <c r="N49" s="40"/>
    </row>
    <row r="50" spans="2:14" ht="17.100000000000001" customHeight="1" x14ac:dyDescent="0.4">
      <c r="B50" s="40"/>
      <c r="C50" s="37"/>
      <c r="D50" s="37"/>
      <c r="E50" s="37"/>
      <c r="F50" s="37"/>
      <c r="G50" s="40"/>
      <c r="I50" s="40"/>
      <c r="J50" s="37"/>
      <c r="K50" s="37"/>
      <c r="L50" s="37"/>
      <c r="M50" s="37"/>
      <c r="N50" s="40"/>
    </row>
    <row r="51" spans="2:14" ht="17.100000000000001" customHeight="1" x14ac:dyDescent="0.4">
      <c r="B51" s="40"/>
      <c r="C51" s="37"/>
      <c r="D51" s="37"/>
      <c r="E51" s="37"/>
      <c r="F51" s="37"/>
      <c r="G51" s="40"/>
      <c r="I51" s="40"/>
      <c r="J51" s="37"/>
      <c r="K51" s="37"/>
      <c r="L51" s="37"/>
      <c r="M51" s="37"/>
      <c r="N51" s="40"/>
    </row>
    <row r="52" spans="2:14" ht="17.100000000000001" customHeight="1" x14ac:dyDescent="0.4">
      <c r="B52" s="40"/>
      <c r="C52" s="37"/>
      <c r="D52" s="37"/>
      <c r="E52" s="37"/>
      <c r="F52" s="37"/>
      <c r="G52" s="40"/>
      <c r="I52" s="40"/>
      <c r="J52" s="37"/>
      <c r="K52" s="37"/>
      <c r="L52" s="37"/>
      <c r="M52" s="37"/>
      <c r="N52" s="40"/>
    </row>
    <row r="53" spans="2:14" ht="17.100000000000001" customHeight="1" x14ac:dyDescent="0.4">
      <c r="B53" s="40"/>
      <c r="C53" s="37"/>
      <c r="D53" s="37"/>
      <c r="E53" s="37"/>
      <c r="F53" s="37"/>
      <c r="G53" s="40"/>
      <c r="I53" s="40"/>
      <c r="J53" s="37"/>
      <c r="K53" s="37"/>
      <c r="L53" s="37"/>
      <c r="M53" s="37"/>
      <c r="N53" s="40"/>
    </row>
    <row r="54" spans="2:14" ht="17.100000000000001" customHeight="1" x14ac:dyDescent="0.4">
      <c r="B54" s="40"/>
      <c r="C54" s="37"/>
      <c r="D54" s="37"/>
      <c r="E54" s="37"/>
      <c r="F54" s="37"/>
      <c r="G54" s="40"/>
      <c r="I54" s="40"/>
      <c r="J54" s="37"/>
      <c r="K54" s="37"/>
      <c r="L54" s="37"/>
      <c r="M54" s="37"/>
      <c r="N54" s="40"/>
    </row>
    <row r="55" spans="2:14" ht="17.100000000000001" customHeight="1" x14ac:dyDescent="0.4">
      <c r="B55" s="40"/>
      <c r="C55" s="37"/>
      <c r="D55" s="37"/>
      <c r="E55" s="37"/>
      <c r="F55" s="37"/>
      <c r="G55" s="40"/>
      <c r="I55" s="40"/>
      <c r="J55" s="37"/>
      <c r="K55" s="37"/>
      <c r="L55" s="37"/>
      <c r="M55" s="37"/>
      <c r="N55" s="40"/>
    </row>
    <row r="56" spans="2:14" ht="17.100000000000001" customHeight="1" x14ac:dyDescent="0.4">
      <c r="B56" s="40"/>
      <c r="C56" s="37"/>
      <c r="D56" s="37"/>
      <c r="E56" s="37"/>
      <c r="F56" s="37"/>
      <c r="G56" s="40"/>
      <c r="I56" s="40"/>
      <c r="J56" s="37"/>
      <c r="K56" s="37"/>
      <c r="L56" s="37"/>
      <c r="M56" s="37"/>
      <c r="N56" s="40"/>
    </row>
    <row r="57" spans="2:14" ht="47.25" customHeight="1" x14ac:dyDescent="0.4">
      <c r="B57" s="102" t="s">
        <v>96</v>
      </c>
      <c r="C57" s="102"/>
      <c r="D57" s="102"/>
      <c r="E57" s="102"/>
      <c r="F57" s="102"/>
      <c r="I57" s="102" t="s">
        <v>96</v>
      </c>
      <c r="J57" s="102"/>
      <c r="K57" s="102"/>
      <c r="L57" s="102"/>
      <c r="M57" s="102"/>
    </row>
    <row r="58" spans="2:14" ht="21" customHeight="1" x14ac:dyDescent="0.4">
      <c r="B58" s="110" t="s">
        <v>97</v>
      </c>
      <c r="C58" s="110"/>
      <c r="D58" s="110"/>
      <c r="E58" s="110"/>
      <c r="F58" s="110"/>
      <c r="G58" s="24"/>
      <c r="I58" s="110" t="s">
        <v>97</v>
      </c>
      <c r="J58" s="110"/>
      <c r="K58" s="110"/>
      <c r="L58" s="110"/>
      <c r="M58" s="110"/>
      <c r="N58" s="24"/>
    </row>
    <row r="59" spans="2:14" ht="21" customHeight="1" x14ac:dyDescent="0.4">
      <c r="B59" s="110" t="s">
        <v>98</v>
      </c>
      <c r="C59" s="110"/>
      <c r="D59" s="110"/>
      <c r="E59" s="110"/>
      <c r="F59" s="110"/>
      <c r="G59" s="24"/>
      <c r="I59" s="110" t="s">
        <v>98</v>
      </c>
      <c r="J59" s="110"/>
      <c r="K59" s="110"/>
      <c r="L59" s="110"/>
      <c r="M59" s="110"/>
      <c r="N59" s="24"/>
    </row>
    <row r="60" spans="2:14" ht="21" customHeight="1" x14ac:dyDescent="0.4">
      <c r="B60" s="110" t="s">
        <v>122</v>
      </c>
      <c r="C60" s="110"/>
      <c r="D60" s="110"/>
      <c r="E60" s="110"/>
      <c r="F60" s="110"/>
      <c r="G60" s="24"/>
      <c r="I60" s="110" t="s">
        <v>122</v>
      </c>
      <c r="J60" s="110"/>
      <c r="K60" s="110"/>
      <c r="L60" s="110"/>
      <c r="M60" s="110"/>
      <c r="N60" s="24"/>
    </row>
    <row r="61" spans="2:14" ht="18" customHeight="1" x14ac:dyDescent="0.4">
      <c r="B61" s="114" t="s">
        <v>100</v>
      </c>
      <c r="C61" s="115"/>
      <c r="D61" s="115"/>
      <c r="E61" s="115"/>
      <c r="F61" s="116"/>
      <c r="I61" s="114" t="s">
        <v>100</v>
      </c>
      <c r="J61" s="115"/>
      <c r="K61" s="115"/>
      <c r="L61" s="115"/>
      <c r="M61" s="116"/>
    </row>
    <row r="62" spans="2:14" ht="18" customHeight="1" x14ac:dyDescent="0.4">
      <c r="B62" s="111" t="s">
        <v>101</v>
      </c>
      <c r="C62" s="112"/>
      <c r="D62" s="112"/>
      <c r="E62" s="112"/>
      <c r="F62" s="113"/>
      <c r="I62" s="111" t="s">
        <v>101</v>
      </c>
      <c r="J62" s="112"/>
      <c r="K62" s="112"/>
      <c r="L62" s="112"/>
      <c r="M62" s="113"/>
    </row>
    <row r="63" spans="2:14" ht="18" customHeight="1" x14ac:dyDescent="0.4">
      <c r="B63" s="97" t="s">
        <v>172</v>
      </c>
      <c r="C63" s="98"/>
      <c r="D63" s="98"/>
      <c r="E63" s="98"/>
      <c r="F63" s="41">
        <v>2500</v>
      </c>
      <c r="I63" s="97" t="s">
        <v>172</v>
      </c>
      <c r="J63" s="98"/>
      <c r="K63" s="98"/>
      <c r="L63" s="98"/>
      <c r="M63" s="41">
        <v>2500</v>
      </c>
    </row>
    <row r="64" spans="2:14" ht="18" customHeight="1" x14ac:dyDescent="0.4">
      <c r="B64" s="106" t="s">
        <v>124</v>
      </c>
      <c r="C64" s="107"/>
      <c r="D64" s="107"/>
      <c r="E64" s="107"/>
      <c r="F64" s="41">
        <v>150</v>
      </c>
      <c r="I64" s="106" t="s">
        <v>124</v>
      </c>
      <c r="J64" s="107"/>
      <c r="K64" s="107"/>
      <c r="L64" s="107"/>
      <c r="M64" s="41">
        <v>150</v>
      </c>
    </row>
    <row r="65" spans="2:14" x14ac:dyDescent="0.4">
      <c r="B65" s="106" t="s">
        <v>106</v>
      </c>
      <c r="C65" s="107"/>
      <c r="D65" s="107"/>
      <c r="E65" s="107"/>
      <c r="F65" s="41">
        <f>31.54+126.14</f>
        <v>157.68</v>
      </c>
      <c r="I65" s="106" t="s">
        <v>106</v>
      </c>
      <c r="J65" s="107"/>
      <c r="K65" s="107"/>
      <c r="L65" s="107"/>
      <c r="M65" s="41">
        <f>31.54+126.14</f>
        <v>157.68</v>
      </c>
    </row>
    <row r="66" spans="2:14" x14ac:dyDescent="0.4">
      <c r="B66" s="97" t="s">
        <v>104</v>
      </c>
      <c r="C66" s="98"/>
      <c r="D66" s="98"/>
      <c r="E66" s="98"/>
      <c r="F66" s="26">
        <v>194</v>
      </c>
      <c r="I66" s="97" t="s">
        <v>104</v>
      </c>
      <c r="J66" s="98"/>
      <c r="K66" s="98"/>
      <c r="L66" s="98"/>
      <c r="M66" s="26">
        <v>194</v>
      </c>
    </row>
    <row r="67" spans="2:14" ht="18" customHeight="1" x14ac:dyDescent="0.4">
      <c r="B67" s="99" t="s">
        <v>107</v>
      </c>
      <c r="C67" s="100"/>
      <c r="D67" s="100"/>
      <c r="E67" s="100"/>
      <c r="F67" s="29"/>
      <c r="I67" s="99" t="s">
        <v>107</v>
      </c>
      <c r="J67" s="100"/>
      <c r="K67" s="100"/>
      <c r="L67" s="100"/>
      <c r="M67" s="29"/>
    </row>
    <row r="68" spans="2:14" ht="18" customHeight="1" x14ac:dyDescent="0.4">
      <c r="B68" s="97" t="s">
        <v>109</v>
      </c>
      <c r="C68" s="98"/>
      <c r="D68" s="98"/>
      <c r="E68" s="98"/>
      <c r="F68" s="26">
        <v>227.91</v>
      </c>
      <c r="I68" s="97" t="s">
        <v>109</v>
      </c>
      <c r="J68" s="98"/>
      <c r="K68" s="98"/>
      <c r="L68" s="98"/>
      <c r="M68" s="26">
        <v>227.91</v>
      </c>
    </row>
    <row r="69" spans="2:14" ht="18" customHeight="1" x14ac:dyDescent="0.4">
      <c r="B69" s="97" t="s">
        <v>176</v>
      </c>
      <c r="C69" s="98"/>
      <c r="D69" s="98"/>
      <c r="E69" s="98"/>
      <c r="F69" s="26">
        <v>39.43</v>
      </c>
      <c r="I69" s="97" t="s">
        <v>176</v>
      </c>
      <c r="J69" s="98"/>
      <c r="K69" s="98"/>
      <c r="L69" s="98"/>
      <c r="M69" s="26">
        <v>39.43</v>
      </c>
    </row>
    <row r="70" spans="2:14" ht="18" customHeight="1" x14ac:dyDescent="0.4">
      <c r="B70" s="117" t="s">
        <v>112</v>
      </c>
      <c r="C70" s="118"/>
      <c r="D70" s="118"/>
      <c r="E70" s="118"/>
      <c r="F70" s="42">
        <f>SUM(F63:F66)-SUM(F68:F69)</f>
        <v>2734.3399999999997</v>
      </c>
      <c r="I70" s="117" t="s">
        <v>112</v>
      </c>
      <c r="J70" s="118"/>
      <c r="K70" s="118"/>
      <c r="L70" s="118"/>
      <c r="M70" s="42">
        <f>SUM(M63:M66)-SUM(M68:M69)</f>
        <v>2734.3399999999997</v>
      </c>
    </row>
    <row r="71" spans="2:14" ht="48.95" customHeight="1" x14ac:dyDescent="0.4">
      <c r="B71" s="103" t="s">
        <v>177</v>
      </c>
      <c r="C71" s="103"/>
      <c r="D71" s="103"/>
      <c r="E71" s="103"/>
      <c r="F71" s="103"/>
      <c r="G71" s="38"/>
      <c r="I71" s="103" t="s">
        <v>177</v>
      </c>
      <c r="J71" s="103"/>
      <c r="K71" s="103"/>
      <c r="L71" s="103"/>
      <c r="M71" s="103"/>
      <c r="N71" s="39"/>
    </row>
    <row r="72" spans="2:14" ht="43.5" customHeight="1" x14ac:dyDescent="0.3">
      <c r="B72" s="109" t="s">
        <v>114</v>
      </c>
      <c r="C72" s="109"/>
      <c r="D72" s="109"/>
      <c r="E72" s="109"/>
      <c r="F72" s="109"/>
      <c r="G72" s="109"/>
      <c r="I72" s="109" t="s">
        <v>114</v>
      </c>
      <c r="J72" s="109"/>
      <c r="K72" s="109"/>
      <c r="L72" s="109"/>
      <c r="M72" s="109"/>
      <c r="N72" s="109"/>
    </row>
    <row r="73" spans="2:14" ht="48.95" customHeight="1" x14ac:dyDescent="0.4">
      <c r="B73" s="33"/>
      <c r="C73" s="35"/>
      <c r="D73" s="35"/>
      <c r="E73" s="35"/>
      <c r="F73" s="35"/>
      <c r="G73" s="35"/>
      <c r="I73" s="33"/>
      <c r="J73" s="35"/>
      <c r="K73" s="35"/>
      <c r="L73" s="35"/>
      <c r="M73" s="35"/>
      <c r="N73" s="35"/>
    </row>
    <row r="74" spans="2:14" ht="17.100000000000001" customHeight="1" x14ac:dyDescent="0.4">
      <c r="B74" s="36"/>
      <c r="C74" s="43" t="s">
        <v>128</v>
      </c>
      <c r="D74" s="43"/>
      <c r="E74" s="43"/>
      <c r="F74" s="43"/>
      <c r="G74" s="36"/>
      <c r="I74" s="36"/>
      <c r="J74" s="108" t="s">
        <v>128</v>
      </c>
      <c r="K74" s="108"/>
      <c r="L74" s="108"/>
      <c r="M74" s="108"/>
      <c r="N74" s="36"/>
    </row>
    <row r="75" spans="2:14" ht="17.100000000000001" customHeight="1" x14ac:dyDescent="0.4">
      <c r="B75" s="36"/>
      <c r="C75" s="37"/>
      <c r="D75" s="37"/>
      <c r="E75" s="37"/>
      <c r="F75" s="37"/>
      <c r="G75" s="36"/>
      <c r="I75" s="36"/>
      <c r="J75" s="37"/>
      <c r="K75" s="37"/>
      <c r="L75" s="37"/>
      <c r="M75" s="37"/>
      <c r="N75" s="36"/>
    </row>
    <row r="76" spans="2:14" ht="17.100000000000001" customHeight="1" x14ac:dyDescent="0.4">
      <c r="B76" s="36"/>
      <c r="C76" s="37"/>
      <c r="D76" s="37"/>
      <c r="E76" s="37"/>
      <c r="F76" s="37"/>
      <c r="G76" s="36"/>
      <c r="I76" s="36"/>
      <c r="J76" s="37"/>
      <c r="K76" s="37"/>
      <c r="L76" s="37"/>
      <c r="M76" s="37"/>
      <c r="N76" s="36"/>
    </row>
    <row r="77" spans="2:14" ht="17.100000000000001" customHeight="1" x14ac:dyDescent="0.4">
      <c r="B77" s="36"/>
      <c r="C77" s="37"/>
      <c r="D77" s="37"/>
      <c r="E77" s="37"/>
      <c r="F77" s="37"/>
      <c r="G77" s="36"/>
      <c r="I77" s="36"/>
      <c r="J77" s="37"/>
      <c r="K77" s="37"/>
      <c r="L77" s="37"/>
      <c r="M77" s="37"/>
      <c r="N77" s="36"/>
    </row>
    <row r="78" spans="2:14" ht="17.100000000000001" customHeight="1" x14ac:dyDescent="0.4">
      <c r="B78" s="36"/>
      <c r="C78" s="37"/>
      <c r="D78" s="37"/>
      <c r="E78" s="37"/>
      <c r="F78" s="37"/>
      <c r="G78" s="36"/>
      <c r="I78" s="36"/>
      <c r="J78" s="37"/>
      <c r="K78" s="37"/>
      <c r="L78" s="37"/>
      <c r="M78" s="37"/>
      <c r="N78" s="36"/>
    </row>
    <row r="79" spans="2:14" ht="17.100000000000001" customHeight="1" x14ac:dyDescent="0.4">
      <c r="B79" s="36"/>
      <c r="C79" s="37"/>
      <c r="D79" s="37"/>
      <c r="E79" s="37"/>
      <c r="F79" s="37"/>
      <c r="G79" s="36"/>
      <c r="I79" s="36"/>
      <c r="J79" s="37"/>
      <c r="K79" s="37"/>
      <c r="L79" s="37"/>
      <c r="M79" s="37"/>
      <c r="N79" s="36"/>
    </row>
    <row r="80" spans="2:14" ht="17.100000000000001" customHeight="1" x14ac:dyDescent="0.4">
      <c r="B80" s="36"/>
      <c r="C80" s="37"/>
      <c r="D80" s="37"/>
      <c r="E80" s="37"/>
      <c r="F80" s="37"/>
      <c r="G80" s="36"/>
      <c r="I80" s="36"/>
      <c r="J80" s="37"/>
      <c r="K80" s="37"/>
      <c r="L80" s="37"/>
      <c r="M80" s="37"/>
      <c r="N80" s="36"/>
    </row>
    <row r="81" spans="2:16" ht="17.100000000000001" customHeight="1" x14ac:dyDescent="0.4">
      <c r="B81" s="36"/>
      <c r="C81" s="37"/>
      <c r="D81" s="37"/>
      <c r="E81" s="37"/>
      <c r="F81" s="37"/>
      <c r="G81" s="36"/>
      <c r="I81" s="36"/>
      <c r="J81" s="37"/>
      <c r="K81" s="37"/>
      <c r="L81" s="37"/>
      <c r="M81" s="37"/>
      <c r="N81" s="36"/>
    </row>
    <row r="82" spans="2:16" ht="47.25" customHeight="1" x14ac:dyDescent="0.4">
      <c r="B82" s="102" t="s">
        <v>96</v>
      </c>
      <c r="C82" s="102"/>
      <c r="D82" s="102"/>
      <c r="E82" s="102"/>
      <c r="F82" s="102"/>
      <c r="I82" s="102" t="s">
        <v>96</v>
      </c>
      <c r="J82" s="102"/>
      <c r="K82" s="102"/>
      <c r="L82" s="102"/>
      <c r="M82" s="102"/>
    </row>
    <row r="83" spans="2:16" ht="21" customHeight="1" x14ac:dyDescent="0.4">
      <c r="B83" s="110" t="s">
        <v>97</v>
      </c>
      <c r="C83" s="110"/>
      <c r="D83" s="110"/>
      <c r="E83" s="110"/>
      <c r="F83" s="110"/>
      <c r="G83" s="24"/>
      <c r="I83" s="110" t="s">
        <v>97</v>
      </c>
      <c r="J83" s="110"/>
      <c r="K83" s="110"/>
      <c r="L83" s="110"/>
      <c r="M83" s="110"/>
      <c r="N83" s="24"/>
    </row>
    <row r="84" spans="2:16" ht="21" customHeight="1" x14ac:dyDescent="0.4">
      <c r="B84" s="110" t="s">
        <v>98</v>
      </c>
      <c r="C84" s="110"/>
      <c r="D84" s="110"/>
      <c r="E84" s="110"/>
      <c r="F84" s="110"/>
      <c r="G84" s="24"/>
      <c r="I84" s="110" t="s">
        <v>98</v>
      </c>
      <c r="J84" s="110"/>
      <c r="K84" s="110"/>
      <c r="L84" s="110"/>
      <c r="M84" s="110"/>
      <c r="N84" s="24"/>
    </row>
    <row r="85" spans="2:16" ht="21" customHeight="1" x14ac:dyDescent="0.4">
      <c r="B85" s="110" t="s">
        <v>139</v>
      </c>
      <c r="C85" s="110"/>
      <c r="D85" s="110"/>
      <c r="E85" s="110"/>
      <c r="F85" s="110"/>
      <c r="G85" s="24"/>
      <c r="I85" s="110" t="s">
        <v>139</v>
      </c>
      <c r="J85" s="110"/>
      <c r="K85" s="110"/>
      <c r="L85" s="110"/>
      <c r="M85" s="110"/>
      <c r="N85" s="24"/>
    </row>
    <row r="86" spans="2:16" ht="18" customHeight="1" x14ac:dyDescent="0.4">
      <c r="B86" s="114" t="s">
        <v>100</v>
      </c>
      <c r="C86" s="115"/>
      <c r="D86" s="115"/>
      <c r="E86" s="115"/>
      <c r="F86" s="116"/>
      <c r="G86" s="32"/>
      <c r="I86" s="114" t="s">
        <v>100</v>
      </c>
      <c r="J86" s="115"/>
      <c r="K86" s="115"/>
      <c r="L86" s="115"/>
      <c r="M86" s="116"/>
      <c r="N86" s="32"/>
    </row>
    <row r="87" spans="2:16" ht="18" customHeight="1" x14ac:dyDescent="0.4">
      <c r="B87" s="111" t="s">
        <v>101</v>
      </c>
      <c r="C87" s="112"/>
      <c r="D87" s="112"/>
      <c r="E87" s="112"/>
      <c r="F87" s="113"/>
      <c r="G87" s="32"/>
      <c r="I87" s="111" t="s">
        <v>101</v>
      </c>
      <c r="J87" s="112"/>
      <c r="K87" s="112"/>
      <c r="L87" s="112"/>
      <c r="M87" s="113"/>
      <c r="N87" s="32"/>
      <c r="O87" s="21"/>
    </row>
    <row r="88" spans="2:16" ht="18" customHeight="1" x14ac:dyDescent="0.4">
      <c r="B88" s="97" t="s">
        <v>172</v>
      </c>
      <c r="C88" s="98"/>
      <c r="D88" s="98"/>
      <c r="E88" s="98"/>
      <c r="F88" s="41">
        <v>1666.15</v>
      </c>
      <c r="I88" s="97" t="s">
        <v>172</v>
      </c>
      <c r="J88" s="98"/>
      <c r="K88" s="98"/>
      <c r="L88" s="98"/>
      <c r="M88" s="41">
        <v>1666.15</v>
      </c>
      <c r="P88" s="21">
        <f>M88+M89</f>
        <v>2200</v>
      </c>
    </row>
    <row r="89" spans="2:16" ht="18" customHeight="1" x14ac:dyDescent="0.4">
      <c r="B89" s="106" t="s">
        <v>103</v>
      </c>
      <c r="C89" s="107"/>
      <c r="D89" s="107"/>
      <c r="E89" s="107"/>
      <c r="F89" s="41">
        <f>2200-F88</f>
        <v>533.84999999999991</v>
      </c>
      <c r="I89" s="106" t="s">
        <v>103</v>
      </c>
      <c r="J89" s="107"/>
      <c r="K89" s="107"/>
      <c r="L89" s="107"/>
      <c r="M89" s="41">
        <f>2200-M88</f>
        <v>533.84999999999991</v>
      </c>
    </row>
    <row r="90" spans="2:16" x14ac:dyDescent="0.4">
      <c r="B90" s="106" t="s">
        <v>106</v>
      </c>
      <c r="C90" s="107"/>
      <c r="D90" s="107"/>
      <c r="E90" s="107"/>
      <c r="F90" s="41">
        <f>1.11+4.43</f>
        <v>5.54</v>
      </c>
      <c r="I90" s="106" t="s">
        <v>106</v>
      </c>
      <c r="J90" s="107"/>
      <c r="K90" s="107"/>
      <c r="L90" s="107"/>
      <c r="M90" s="41">
        <f>1.11+4.43</f>
        <v>5.54</v>
      </c>
    </row>
    <row r="91" spans="2:16" ht="18" customHeight="1" x14ac:dyDescent="0.4">
      <c r="B91" s="99" t="s">
        <v>107</v>
      </c>
      <c r="C91" s="100"/>
      <c r="D91" s="100"/>
      <c r="E91" s="100"/>
      <c r="F91" s="29"/>
      <c r="I91" s="99" t="s">
        <v>107</v>
      </c>
      <c r="J91" s="100"/>
      <c r="K91" s="100"/>
      <c r="L91" s="100"/>
      <c r="M91" s="29"/>
    </row>
    <row r="92" spans="2:16" ht="18" customHeight="1" x14ac:dyDescent="0.4">
      <c r="B92" s="106" t="s">
        <v>110</v>
      </c>
      <c r="C92" s="107"/>
      <c r="D92" s="107"/>
      <c r="E92" s="107"/>
      <c r="F92" s="41">
        <v>61.56</v>
      </c>
      <c r="I92" s="106" t="s">
        <v>110</v>
      </c>
      <c r="J92" s="107"/>
      <c r="K92" s="107"/>
      <c r="L92" s="107"/>
      <c r="M92" s="41">
        <v>61.56</v>
      </c>
    </row>
    <row r="93" spans="2:16" ht="18" customHeight="1" x14ac:dyDescent="0.4">
      <c r="B93" s="97" t="s">
        <v>111</v>
      </c>
      <c r="C93" s="98"/>
      <c r="D93" s="98"/>
      <c r="E93" s="98"/>
      <c r="F93" s="41">
        <v>7.57</v>
      </c>
      <c r="I93" s="97" t="s">
        <v>111</v>
      </c>
      <c r="J93" s="98"/>
      <c r="K93" s="98"/>
      <c r="L93" s="98"/>
      <c r="M93" s="41">
        <v>7.57</v>
      </c>
    </row>
    <row r="94" spans="2:16" ht="18" customHeight="1" x14ac:dyDescent="0.4">
      <c r="B94" s="117" t="s">
        <v>112</v>
      </c>
      <c r="C94" s="118"/>
      <c r="D94" s="118"/>
      <c r="E94" s="118"/>
      <c r="F94" s="42">
        <f>SUM(F88:F90)-SUM(F92:F93)</f>
        <v>2136.41</v>
      </c>
      <c r="I94" s="117" t="s">
        <v>112</v>
      </c>
      <c r="J94" s="118"/>
      <c r="K94" s="118"/>
      <c r="L94" s="118"/>
      <c r="M94" s="42">
        <f>SUM(M88:M90)-SUM(M92:M93)</f>
        <v>2136.41</v>
      </c>
    </row>
    <row r="95" spans="2:16" ht="48.95" customHeight="1" x14ac:dyDescent="0.4">
      <c r="B95" s="103" t="s">
        <v>178</v>
      </c>
      <c r="C95" s="103"/>
      <c r="D95" s="103"/>
      <c r="E95" s="103"/>
      <c r="F95" s="103"/>
      <c r="G95" s="38"/>
      <c r="I95" s="103" t="s">
        <v>178</v>
      </c>
      <c r="J95" s="103"/>
      <c r="K95" s="103"/>
      <c r="L95" s="103"/>
      <c r="M95" s="103"/>
      <c r="N95" s="39"/>
    </row>
    <row r="96" spans="2:16" ht="43.5" customHeight="1" x14ac:dyDescent="0.3">
      <c r="B96" s="109" t="s">
        <v>114</v>
      </c>
      <c r="C96" s="109"/>
      <c r="D96" s="109"/>
      <c r="E96" s="109"/>
      <c r="F96" s="109"/>
      <c r="G96" s="109"/>
      <c r="I96" s="109" t="s">
        <v>114</v>
      </c>
      <c r="J96" s="109"/>
      <c r="K96" s="109"/>
      <c r="L96" s="109"/>
      <c r="M96" s="109"/>
      <c r="N96" s="109"/>
    </row>
    <row r="97" spans="2:14" ht="48.95" customHeight="1" x14ac:dyDescent="0.4">
      <c r="B97" s="33"/>
      <c r="C97" s="35"/>
      <c r="D97" s="35"/>
      <c r="E97" s="35"/>
      <c r="F97" s="35"/>
      <c r="G97" s="35"/>
      <c r="I97" s="33"/>
      <c r="J97" s="35"/>
      <c r="K97" s="35"/>
      <c r="L97" s="35"/>
      <c r="M97" s="35"/>
      <c r="N97" s="35"/>
    </row>
    <row r="98" spans="2:14" ht="17.100000000000001" customHeight="1" x14ac:dyDescent="0.4">
      <c r="B98" s="101" t="s">
        <v>142</v>
      </c>
      <c r="C98" s="101"/>
      <c r="D98" s="101"/>
      <c r="E98" s="101"/>
      <c r="F98" s="101"/>
      <c r="G98" s="40"/>
      <c r="I98" s="101" t="s">
        <v>142</v>
      </c>
      <c r="J98" s="101"/>
      <c r="K98" s="101"/>
      <c r="L98" s="101"/>
      <c r="M98" s="101"/>
      <c r="N98" s="40"/>
    </row>
    <row r="99" spans="2:14" ht="17.100000000000001" customHeight="1" x14ac:dyDescent="0.4">
      <c r="B99" s="44"/>
      <c r="C99" s="44"/>
      <c r="D99" s="44"/>
      <c r="E99" s="44"/>
      <c r="F99" s="44"/>
      <c r="G99" s="40"/>
      <c r="I99" s="44"/>
      <c r="J99" s="44"/>
      <c r="K99" s="44"/>
      <c r="L99" s="44"/>
      <c r="M99" s="44"/>
      <c r="N99" s="40"/>
    </row>
    <row r="100" spans="2:14" ht="17.100000000000001" customHeight="1" x14ac:dyDescent="0.4">
      <c r="B100" s="44"/>
      <c r="C100" s="44"/>
      <c r="D100" s="44"/>
      <c r="E100" s="44"/>
      <c r="F100" s="44"/>
      <c r="G100" s="40"/>
      <c r="I100" s="44"/>
      <c r="J100" s="44"/>
      <c r="K100" s="44"/>
      <c r="L100" s="44"/>
      <c r="M100" s="44"/>
      <c r="N100" s="40"/>
    </row>
    <row r="101" spans="2:14" ht="17.100000000000001" customHeight="1" x14ac:dyDescent="0.4">
      <c r="B101" s="44"/>
      <c r="C101" s="44"/>
      <c r="D101" s="44"/>
      <c r="E101" s="44"/>
      <c r="F101" s="44"/>
      <c r="G101" s="40"/>
      <c r="I101" s="44"/>
      <c r="J101" s="44"/>
      <c r="K101" s="44"/>
      <c r="L101" s="44"/>
      <c r="M101" s="44"/>
      <c r="N101" s="40"/>
    </row>
    <row r="102" spans="2:14" ht="17.100000000000001" customHeight="1" x14ac:dyDescent="0.4">
      <c r="B102" s="44"/>
      <c r="C102" s="44"/>
      <c r="D102" s="44"/>
      <c r="E102" s="44"/>
      <c r="F102" s="44"/>
      <c r="G102" s="40"/>
      <c r="I102" s="44"/>
      <c r="J102" s="44"/>
      <c r="K102" s="44"/>
      <c r="L102" s="44"/>
      <c r="M102" s="44"/>
      <c r="N102" s="40"/>
    </row>
    <row r="103" spans="2:14" ht="17.100000000000001" customHeight="1" x14ac:dyDescent="0.4">
      <c r="B103" s="44"/>
      <c r="C103" s="44"/>
      <c r="D103" s="44"/>
      <c r="E103" s="44"/>
      <c r="F103" s="44"/>
      <c r="G103" s="40"/>
      <c r="I103" s="44"/>
      <c r="J103" s="44"/>
      <c r="K103" s="44"/>
      <c r="L103" s="44"/>
      <c r="M103" s="44"/>
      <c r="N103" s="40"/>
    </row>
    <row r="104" spans="2:14" ht="17.100000000000001" customHeight="1" x14ac:dyDescent="0.4">
      <c r="B104" s="44"/>
      <c r="C104" s="44"/>
      <c r="D104" s="44"/>
      <c r="E104" s="44"/>
      <c r="F104" s="44"/>
      <c r="G104" s="40"/>
      <c r="I104" s="44"/>
      <c r="J104" s="44"/>
      <c r="K104" s="44"/>
      <c r="L104" s="44"/>
      <c r="M104" s="44"/>
      <c r="N104" s="40"/>
    </row>
    <row r="105" spans="2:14" ht="17.100000000000001" customHeight="1" x14ac:dyDescent="0.4">
      <c r="B105" s="44"/>
      <c r="C105" s="44"/>
      <c r="D105" s="44"/>
      <c r="E105" s="44"/>
      <c r="F105" s="44"/>
      <c r="G105" s="40"/>
      <c r="I105" s="44"/>
      <c r="J105" s="44"/>
      <c r="K105" s="44"/>
      <c r="L105" s="44"/>
      <c r="M105" s="44"/>
      <c r="N105" s="40"/>
    </row>
    <row r="106" spans="2:14" ht="17.100000000000001" customHeight="1" x14ac:dyDescent="0.4">
      <c r="B106" s="44"/>
      <c r="C106" s="44"/>
      <c r="D106" s="44"/>
      <c r="E106" s="44"/>
      <c r="F106" s="44"/>
      <c r="G106" s="40"/>
      <c r="I106" s="44"/>
      <c r="J106" s="44"/>
      <c r="K106" s="44"/>
      <c r="L106" s="44"/>
      <c r="M106" s="44"/>
      <c r="N106" s="40"/>
    </row>
    <row r="107" spans="2:14" ht="17.100000000000001" customHeight="1" x14ac:dyDescent="0.4">
      <c r="B107" s="44"/>
      <c r="C107" s="44"/>
      <c r="D107" s="44"/>
      <c r="E107" s="44"/>
      <c r="F107" s="44"/>
      <c r="G107" s="40"/>
      <c r="I107" s="44"/>
      <c r="J107" s="44"/>
      <c r="K107" s="44"/>
      <c r="L107" s="44"/>
      <c r="M107" s="44"/>
      <c r="N107" s="40"/>
    </row>
    <row r="108" spans="2:14" ht="43.5" customHeight="1" x14ac:dyDescent="0.4">
      <c r="B108" s="102" t="s">
        <v>96</v>
      </c>
      <c r="C108" s="102"/>
      <c r="D108" s="102"/>
      <c r="E108" s="102"/>
      <c r="F108" s="102"/>
      <c r="I108" s="102" t="s">
        <v>96</v>
      </c>
      <c r="J108" s="102"/>
      <c r="K108" s="102"/>
      <c r="L108" s="102"/>
      <c r="M108" s="102"/>
    </row>
    <row r="109" spans="2:14" ht="21" customHeight="1" x14ac:dyDescent="0.4">
      <c r="B109" s="110" t="s">
        <v>97</v>
      </c>
      <c r="C109" s="110"/>
      <c r="D109" s="110"/>
      <c r="E109" s="110"/>
      <c r="F109" s="110"/>
      <c r="G109" s="24"/>
      <c r="I109" s="110" t="s">
        <v>97</v>
      </c>
      <c r="J109" s="110"/>
      <c r="K109" s="110"/>
      <c r="L109" s="110"/>
      <c r="M109" s="110"/>
      <c r="N109" s="24"/>
    </row>
    <row r="110" spans="2:14" ht="18.75" customHeight="1" x14ac:dyDescent="0.4">
      <c r="B110" s="110" t="s">
        <v>98</v>
      </c>
      <c r="C110" s="110"/>
      <c r="D110" s="110"/>
      <c r="E110" s="110"/>
      <c r="F110" s="110"/>
      <c r="G110" s="24"/>
      <c r="I110" s="110" t="s">
        <v>98</v>
      </c>
      <c r="J110" s="110"/>
      <c r="K110" s="110"/>
      <c r="L110" s="110"/>
      <c r="M110" s="110"/>
      <c r="N110" s="24"/>
    </row>
    <row r="111" spans="2:14" ht="21" customHeight="1" x14ac:dyDescent="0.4">
      <c r="B111" s="110" t="s">
        <v>143</v>
      </c>
      <c r="C111" s="110"/>
      <c r="D111" s="110"/>
      <c r="E111" s="110"/>
      <c r="F111" s="110"/>
      <c r="G111" s="24"/>
      <c r="I111" s="110" t="s">
        <v>143</v>
      </c>
      <c r="J111" s="110"/>
      <c r="K111" s="110"/>
      <c r="L111" s="110"/>
      <c r="M111" s="110"/>
      <c r="N111" s="24"/>
    </row>
    <row r="112" spans="2:14" ht="18" customHeight="1" x14ac:dyDescent="0.4">
      <c r="B112" s="114" t="s">
        <v>100</v>
      </c>
      <c r="C112" s="115"/>
      <c r="D112" s="115"/>
      <c r="E112" s="115"/>
      <c r="F112" s="116"/>
      <c r="G112" s="32"/>
      <c r="I112" s="114" t="s">
        <v>100</v>
      </c>
      <c r="J112" s="115"/>
      <c r="K112" s="115"/>
      <c r="L112" s="115"/>
      <c r="M112" s="116"/>
      <c r="N112" s="32"/>
    </row>
    <row r="113" spans="2:14" ht="18" customHeight="1" x14ac:dyDescent="0.4">
      <c r="B113" s="111" t="s">
        <v>101</v>
      </c>
      <c r="C113" s="112"/>
      <c r="D113" s="112"/>
      <c r="E113" s="112"/>
      <c r="F113" s="113"/>
      <c r="G113" s="32"/>
      <c r="I113" s="111" t="s">
        <v>101</v>
      </c>
      <c r="J113" s="112"/>
      <c r="K113" s="112"/>
      <c r="L113" s="112"/>
      <c r="M113" s="113"/>
      <c r="N113" s="32"/>
    </row>
    <row r="114" spans="2:14" ht="18" customHeight="1" x14ac:dyDescent="0.4">
      <c r="B114" s="97" t="s">
        <v>172</v>
      </c>
      <c r="C114" s="98"/>
      <c r="D114" s="98"/>
      <c r="E114" s="98"/>
      <c r="F114" s="26">
        <v>1546.38</v>
      </c>
      <c r="I114" s="97" t="s">
        <v>172</v>
      </c>
      <c r="J114" s="98"/>
      <c r="K114" s="98"/>
      <c r="L114" s="98"/>
      <c r="M114" s="26">
        <v>1546.38</v>
      </c>
    </row>
    <row r="115" spans="2:14" ht="18" customHeight="1" x14ac:dyDescent="0.4">
      <c r="B115" s="97" t="s">
        <v>124</v>
      </c>
      <c r="C115" s="98"/>
      <c r="D115" s="98"/>
      <c r="E115" s="98"/>
      <c r="F115" s="26">
        <v>150</v>
      </c>
      <c r="I115" s="97" t="s">
        <v>124</v>
      </c>
      <c r="J115" s="98"/>
      <c r="K115" s="98"/>
      <c r="L115" s="98"/>
      <c r="M115" s="26">
        <v>150</v>
      </c>
    </row>
    <row r="116" spans="2:14" ht="18" customHeight="1" x14ac:dyDescent="0.4">
      <c r="B116" s="97" t="s">
        <v>145</v>
      </c>
      <c r="C116" s="98"/>
      <c r="D116" s="98"/>
      <c r="E116" s="98"/>
      <c r="F116" s="26">
        <v>56.47</v>
      </c>
      <c r="I116" s="97" t="s">
        <v>145</v>
      </c>
      <c r="J116" s="98"/>
      <c r="K116" s="98"/>
      <c r="L116" s="98"/>
      <c r="M116" s="26">
        <v>56.47</v>
      </c>
    </row>
    <row r="117" spans="2:14" ht="18" customHeight="1" x14ac:dyDescent="0.4">
      <c r="B117" s="97" t="s">
        <v>146</v>
      </c>
      <c r="C117" s="98"/>
      <c r="D117" s="98"/>
      <c r="E117" s="98"/>
      <c r="F117" s="26">
        <v>19.739999999999998</v>
      </c>
      <c r="I117" s="97" t="s">
        <v>146</v>
      </c>
      <c r="J117" s="98"/>
      <c r="K117" s="98"/>
      <c r="L117" s="98"/>
      <c r="M117" s="26">
        <v>19.739999999999998</v>
      </c>
    </row>
    <row r="118" spans="2:14" ht="18" customHeight="1" x14ac:dyDescent="0.4">
      <c r="B118" s="99" t="s">
        <v>107</v>
      </c>
      <c r="C118" s="100"/>
      <c r="D118" s="100"/>
      <c r="E118" s="100"/>
      <c r="F118" s="29"/>
      <c r="I118" s="99" t="s">
        <v>107</v>
      </c>
      <c r="J118" s="100"/>
      <c r="K118" s="100"/>
      <c r="L118" s="100"/>
      <c r="M118" s="29"/>
    </row>
    <row r="119" spans="2:14" ht="18" customHeight="1" x14ac:dyDescent="0.4">
      <c r="B119" s="97" t="s">
        <v>179</v>
      </c>
      <c r="C119" s="98"/>
      <c r="D119" s="98"/>
      <c r="E119" s="98"/>
      <c r="F119" s="26">
        <v>120.99</v>
      </c>
      <c r="I119" s="97" t="s">
        <v>179</v>
      </c>
      <c r="J119" s="98"/>
      <c r="K119" s="98"/>
      <c r="L119" s="98"/>
      <c r="M119" s="26">
        <v>120.99</v>
      </c>
    </row>
    <row r="120" spans="2:14" ht="18" customHeight="1" x14ac:dyDescent="0.4">
      <c r="B120" s="97" t="s">
        <v>180</v>
      </c>
      <c r="C120" s="98"/>
      <c r="D120" s="98"/>
      <c r="E120" s="98"/>
      <c r="F120" s="26">
        <v>60</v>
      </c>
      <c r="I120" s="97" t="s">
        <v>180</v>
      </c>
      <c r="J120" s="98"/>
      <c r="K120" s="98"/>
      <c r="L120" s="98"/>
      <c r="M120" s="26">
        <v>60</v>
      </c>
    </row>
    <row r="121" spans="2:14" ht="18" customHeight="1" x14ac:dyDescent="0.4">
      <c r="B121" s="97" t="s">
        <v>181</v>
      </c>
      <c r="C121" s="98"/>
      <c r="D121" s="98"/>
      <c r="E121" s="98"/>
      <c r="F121" s="26">
        <v>151.9</v>
      </c>
      <c r="I121" s="97" t="s">
        <v>181</v>
      </c>
      <c r="J121" s="98"/>
      <c r="K121" s="98"/>
      <c r="L121" s="98"/>
      <c r="M121" s="26">
        <v>151.9</v>
      </c>
    </row>
    <row r="122" spans="2:14" ht="18" customHeight="1" x14ac:dyDescent="0.4">
      <c r="B122" s="97" t="s">
        <v>182</v>
      </c>
      <c r="C122" s="98"/>
      <c r="D122" s="98"/>
      <c r="E122" s="98"/>
      <c r="F122" s="26">
        <v>300</v>
      </c>
      <c r="I122" s="97" t="s">
        <v>182</v>
      </c>
      <c r="J122" s="98"/>
      <c r="K122" s="98"/>
      <c r="L122" s="98"/>
      <c r="M122" s="26">
        <v>300</v>
      </c>
    </row>
    <row r="123" spans="2:14" ht="18" customHeight="1" x14ac:dyDescent="0.4">
      <c r="B123" s="97" t="s">
        <v>125</v>
      </c>
      <c r="C123" s="98"/>
      <c r="D123" s="98"/>
      <c r="E123" s="98"/>
      <c r="F123" s="26">
        <v>166.5</v>
      </c>
      <c r="I123" s="97" t="s">
        <v>125</v>
      </c>
      <c r="J123" s="98"/>
      <c r="K123" s="98"/>
      <c r="L123" s="98"/>
      <c r="M123" s="26">
        <v>166.5</v>
      </c>
    </row>
    <row r="124" spans="2:14" ht="18" customHeight="1" x14ac:dyDescent="0.4">
      <c r="B124" s="97" t="s">
        <v>183</v>
      </c>
      <c r="C124" s="98"/>
      <c r="D124" s="98"/>
      <c r="E124" s="98"/>
      <c r="F124" s="26">
        <f>113.74/2</f>
        <v>56.87</v>
      </c>
      <c r="I124" s="97" t="s">
        <v>183</v>
      </c>
      <c r="J124" s="98"/>
      <c r="K124" s="98"/>
      <c r="L124" s="98"/>
      <c r="M124" s="26">
        <f>113.74/2</f>
        <v>56.87</v>
      </c>
    </row>
    <row r="125" spans="2:14" ht="18" customHeight="1" x14ac:dyDescent="0.4">
      <c r="B125" s="104" t="s">
        <v>112</v>
      </c>
      <c r="C125" s="105"/>
      <c r="D125" s="105"/>
      <c r="E125" s="105"/>
      <c r="F125" s="30">
        <f>SUM(F114:F117)-SUM(F119:F124)</f>
        <v>916.33000000000015</v>
      </c>
      <c r="I125" s="104" t="s">
        <v>112</v>
      </c>
      <c r="J125" s="105"/>
      <c r="K125" s="105"/>
      <c r="L125" s="105"/>
      <c r="M125" s="30">
        <f>SUM(M114:M117)-SUM(M119:M124)</f>
        <v>916.33000000000015</v>
      </c>
    </row>
    <row r="126" spans="2:14" ht="39" customHeight="1" x14ac:dyDescent="0.4">
      <c r="B126" s="124" t="s">
        <v>184</v>
      </c>
      <c r="C126" s="124"/>
      <c r="D126" s="124"/>
      <c r="E126" s="124"/>
      <c r="F126" s="124"/>
      <c r="G126" s="38"/>
      <c r="I126" s="124" t="s">
        <v>184</v>
      </c>
      <c r="J126" s="124"/>
      <c r="K126" s="124"/>
      <c r="L126" s="124"/>
      <c r="M126" s="124"/>
      <c r="N126" s="39"/>
    </row>
    <row r="127" spans="2:14" ht="19.5" customHeight="1" x14ac:dyDescent="0.3">
      <c r="B127" s="109" t="s">
        <v>114</v>
      </c>
      <c r="C127" s="109"/>
      <c r="D127" s="109"/>
      <c r="E127" s="109"/>
      <c r="F127" s="109"/>
      <c r="G127" s="109"/>
      <c r="I127" s="109" t="s">
        <v>114</v>
      </c>
      <c r="J127" s="109"/>
      <c r="K127" s="109"/>
      <c r="L127" s="109"/>
      <c r="M127" s="109"/>
      <c r="N127" s="109"/>
    </row>
    <row r="128" spans="2:14" ht="18" customHeight="1" x14ac:dyDescent="0.4">
      <c r="B128" s="33"/>
      <c r="C128" s="35"/>
      <c r="D128" s="35"/>
      <c r="E128" s="35"/>
      <c r="F128" s="35"/>
      <c r="G128" s="35"/>
      <c r="I128" s="33"/>
      <c r="J128" s="35"/>
      <c r="K128" s="35"/>
      <c r="L128" s="35"/>
      <c r="M128" s="35"/>
      <c r="N128" s="35"/>
    </row>
    <row r="129" spans="2:14" ht="17.100000000000001" customHeight="1" x14ac:dyDescent="0.4">
      <c r="B129" s="40"/>
      <c r="C129" s="108" t="s">
        <v>150</v>
      </c>
      <c r="D129" s="108"/>
      <c r="E129" s="108"/>
      <c r="F129" s="108"/>
      <c r="G129" s="40"/>
      <c r="I129" s="40"/>
      <c r="J129" s="108" t="s">
        <v>150</v>
      </c>
      <c r="K129" s="108"/>
      <c r="L129" s="108"/>
      <c r="M129" s="108"/>
      <c r="N129" s="40"/>
    </row>
    <row r="130" spans="2:14" ht="17.100000000000001" customHeight="1" x14ac:dyDescent="0.4">
      <c r="B130" s="40"/>
      <c r="C130" s="37"/>
      <c r="D130" s="37"/>
      <c r="E130" s="37"/>
      <c r="F130" s="37"/>
      <c r="G130" s="40"/>
      <c r="I130" s="40"/>
      <c r="J130" s="37"/>
      <c r="K130" s="37"/>
      <c r="L130" s="37"/>
      <c r="M130" s="37"/>
      <c r="N130" s="40"/>
    </row>
    <row r="131" spans="2:14" ht="17.100000000000001" customHeight="1" x14ac:dyDescent="0.4">
      <c r="B131" s="40"/>
      <c r="C131" s="37"/>
      <c r="D131" s="37"/>
      <c r="E131" s="37"/>
      <c r="F131" s="37"/>
      <c r="G131" s="40"/>
      <c r="I131" s="40"/>
      <c r="J131" s="37"/>
      <c r="K131" s="37"/>
      <c r="L131" s="37"/>
      <c r="M131" s="37"/>
      <c r="N131" s="40"/>
    </row>
    <row r="132" spans="2:14" ht="17.100000000000001" customHeight="1" x14ac:dyDescent="0.4">
      <c r="B132" s="40"/>
      <c r="C132" s="37"/>
      <c r="D132" s="37"/>
      <c r="E132" s="37"/>
      <c r="F132" s="37"/>
      <c r="G132" s="40"/>
      <c r="I132" s="40"/>
      <c r="J132" s="37"/>
      <c r="K132" s="37"/>
      <c r="L132" s="37"/>
      <c r="M132" s="37"/>
      <c r="N132" s="40"/>
    </row>
    <row r="133" spans="2:14" ht="17.100000000000001" customHeight="1" x14ac:dyDescent="0.4">
      <c r="B133" s="40"/>
      <c r="C133" s="37"/>
      <c r="D133" s="37"/>
      <c r="E133" s="37"/>
      <c r="F133" s="37"/>
      <c r="G133" s="40"/>
      <c r="I133" s="40"/>
      <c r="J133" s="37"/>
      <c r="K133" s="37"/>
      <c r="L133" s="37"/>
      <c r="M133" s="37"/>
      <c r="N133" s="40"/>
    </row>
    <row r="134" spans="2:14" ht="17.100000000000001" customHeight="1" x14ac:dyDescent="0.4">
      <c r="B134" s="40"/>
      <c r="C134" s="37"/>
      <c r="D134" s="37"/>
      <c r="E134" s="37"/>
      <c r="F134" s="37"/>
      <c r="G134" s="40"/>
      <c r="I134" s="40"/>
      <c r="J134" s="37"/>
      <c r="K134" s="37"/>
      <c r="L134" s="37"/>
      <c r="M134" s="37"/>
      <c r="N134" s="40"/>
    </row>
    <row r="135" spans="2:14" ht="17.100000000000001" customHeight="1" x14ac:dyDescent="0.4">
      <c r="B135" s="40"/>
      <c r="C135" s="37"/>
      <c r="D135" s="37"/>
      <c r="E135" s="37"/>
      <c r="F135" s="37"/>
      <c r="G135" s="40"/>
      <c r="I135" s="40"/>
      <c r="J135" s="37"/>
      <c r="K135" s="37"/>
      <c r="L135" s="37"/>
      <c r="M135" s="37"/>
      <c r="N135" s="40"/>
    </row>
    <row r="136" spans="2:14" ht="17.100000000000001" customHeight="1" x14ac:dyDescent="0.4">
      <c r="B136" s="40"/>
      <c r="C136" s="37"/>
      <c r="D136" s="37"/>
      <c r="E136" s="37"/>
      <c r="F136" s="37"/>
      <c r="G136" s="40"/>
      <c r="I136" s="40"/>
      <c r="J136" s="37"/>
      <c r="K136" s="37"/>
      <c r="L136" s="37"/>
      <c r="M136" s="37"/>
      <c r="N136" s="40"/>
    </row>
    <row r="137" spans="2:14" ht="17.100000000000001" customHeight="1" x14ac:dyDescent="0.4">
      <c r="B137" s="40"/>
      <c r="C137" s="37"/>
      <c r="D137" s="37"/>
      <c r="E137" s="37"/>
      <c r="F137" s="37"/>
      <c r="G137" s="40"/>
      <c r="I137" s="40"/>
      <c r="J137" s="37"/>
      <c r="K137" s="37"/>
      <c r="L137" s="37"/>
      <c r="M137" s="37"/>
      <c r="N137" s="40"/>
    </row>
    <row r="138" spans="2:14" ht="47.25" customHeight="1" x14ac:dyDescent="0.4">
      <c r="B138" s="102" t="s">
        <v>96</v>
      </c>
      <c r="C138" s="102"/>
      <c r="D138" s="102"/>
      <c r="E138" s="102"/>
      <c r="F138" s="102"/>
      <c r="I138" s="102" t="s">
        <v>96</v>
      </c>
      <c r="J138" s="102"/>
      <c r="K138" s="102"/>
      <c r="L138" s="102"/>
      <c r="M138" s="102"/>
    </row>
    <row r="139" spans="2:14" ht="21" customHeight="1" x14ac:dyDescent="0.4">
      <c r="B139" s="110" t="s">
        <v>97</v>
      </c>
      <c r="C139" s="110"/>
      <c r="D139" s="110"/>
      <c r="E139" s="110"/>
      <c r="F139" s="110"/>
      <c r="G139" s="24"/>
      <c r="I139" s="110" t="s">
        <v>97</v>
      </c>
      <c r="J139" s="110"/>
      <c r="K139" s="110"/>
      <c r="L139" s="110"/>
      <c r="M139" s="110"/>
      <c r="N139" s="24"/>
    </row>
    <row r="140" spans="2:14" ht="21" customHeight="1" x14ac:dyDescent="0.4">
      <c r="B140" s="110" t="s">
        <v>98</v>
      </c>
      <c r="C140" s="110"/>
      <c r="D140" s="110"/>
      <c r="E140" s="110"/>
      <c r="F140" s="110"/>
      <c r="G140" s="24"/>
      <c r="I140" s="110" t="s">
        <v>98</v>
      </c>
      <c r="J140" s="110"/>
      <c r="K140" s="110"/>
      <c r="L140" s="110"/>
      <c r="M140" s="110"/>
      <c r="N140" s="24"/>
    </row>
    <row r="141" spans="2:14" ht="21" customHeight="1" x14ac:dyDescent="0.4">
      <c r="B141" s="110" t="s">
        <v>151</v>
      </c>
      <c r="C141" s="110"/>
      <c r="D141" s="110"/>
      <c r="E141" s="110"/>
      <c r="F141" s="110"/>
      <c r="G141" s="24"/>
      <c r="I141" s="110" t="s">
        <v>151</v>
      </c>
      <c r="J141" s="110"/>
      <c r="K141" s="110"/>
      <c r="L141" s="110"/>
      <c r="M141" s="110"/>
      <c r="N141" s="24"/>
    </row>
    <row r="142" spans="2:14" ht="18" customHeight="1" x14ac:dyDescent="0.4">
      <c r="B142" s="114" t="s">
        <v>100</v>
      </c>
      <c r="C142" s="115"/>
      <c r="D142" s="115"/>
      <c r="E142" s="115"/>
      <c r="F142" s="116"/>
      <c r="G142" s="32"/>
      <c r="I142" s="114" t="s">
        <v>100</v>
      </c>
      <c r="J142" s="115"/>
      <c r="K142" s="115"/>
      <c r="L142" s="115"/>
      <c r="M142" s="116"/>
      <c r="N142" s="32"/>
    </row>
    <row r="143" spans="2:14" ht="18" customHeight="1" x14ac:dyDescent="0.4">
      <c r="B143" s="111" t="s">
        <v>101</v>
      </c>
      <c r="C143" s="112"/>
      <c r="D143" s="112"/>
      <c r="E143" s="112"/>
      <c r="F143" s="113"/>
      <c r="G143" s="32"/>
      <c r="I143" s="111" t="s">
        <v>101</v>
      </c>
      <c r="J143" s="112"/>
      <c r="K143" s="112"/>
      <c r="L143" s="112"/>
      <c r="M143" s="113"/>
      <c r="N143" s="32"/>
    </row>
    <row r="144" spans="2:14" ht="18" customHeight="1" x14ac:dyDescent="0.4">
      <c r="B144" s="97" t="s">
        <v>172</v>
      </c>
      <c r="C144" s="98"/>
      <c r="D144" s="98"/>
      <c r="E144" s="98"/>
      <c r="F144" s="26">
        <v>1546.38</v>
      </c>
      <c r="I144" s="97" t="s">
        <v>172</v>
      </c>
      <c r="J144" s="98"/>
      <c r="K144" s="98"/>
      <c r="L144" s="98"/>
      <c r="M144" s="26">
        <v>1546.38</v>
      </c>
    </row>
    <row r="145" spans="2:14" ht="18" customHeight="1" x14ac:dyDescent="0.4">
      <c r="B145" s="97" t="s">
        <v>124</v>
      </c>
      <c r="C145" s="98"/>
      <c r="D145" s="98"/>
      <c r="E145" s="98"/>
      <c r="F145" s="26">
        <v>150</v>
      </c>
      <c r="I145" s="97" t="s">
        <v>124</v>
      </c>
      <c r="J145" s="98"/>
      <c r="K145" s="98"/>
      <c r="L145" s="98"/>
      <c r="M145" s="26">
        <v>150</v>
      </c>
    </row>
    <row r="146" spans="2:14" x14ac:dyDescent="0.4">
      <c r="B146" s="97" t="s">
        <v>106</v>
      </c>
      <c r="C146" s="98"/>
      <c r="D146" s="98"/>
      <c r="E146" s="98"/>
      <c r="F146" s="26">
        <f>3.19+12.76</f>
        <v>15.95</v>
      </c>
      <c r="I146" s="97" t="s">
        <v>106</v>
      </c>
      <c r="J146" s="98"/>
      <c r="K146" s="98"/>
      <c r="L146" s="98"/>
      <c r="M146" s="26">
        <f>3.19+12.76</f>
        <v>15.95</v>
      </c>
    </row>
    <row r="147" spans="2:14" ht="18" customHeight="1" x14ac:dyDescent="0.4">
      <c r="B147" s="99" t="s">
        <v>107</v>
      </c>
      <c r="C147" s="100"/>
      <c r="D147" s="100"/>
      <c r="E147" s="100"/>
      <c r="F147" s="29"/>
      <c r="I147" s="99" t="s">
        <v>107</v>
      </c>
      <c r="J147" s="100"/>
      <c r="K147" s="100"/>
      <c r="L147" s="100"/>
      <c r="M147" s="29"/>
    </row>
    <row r="148" spans="2:14" ht="18" customHeight="1" x14ac:dyDescent="0.4">
      <c r="B148" s="97" t="s">
        <v>147</v>
      </c>
      <c r="C148" s="98"/>
      <c r="D148" s="98"/>
      <c r="E148" s="98"/>
      <c r="F148" s="26">
        <v>121.58</v>
      </c>
      <c r="I148" s="97" t="s">
        <v>147</v>
      </c>
      <c r="J148" s="98"/>
      <c r="K148" s="98"/>
      <c r="L148" s="98"/>
      <c r="M148" s="26">
        <v>121.58</v>
      </c>
    </row>
    <row r="149" spans="2:14" ht="18" customHeight="1" x14ac:dyDescent="0.4">
      <c r="B149" s="97" t="s">
        <v>118</v>
      </c>
      <c r="C149" s="98"/>
      <c r="D149" s="98"/>
      <c r="E149" s="98"/>
      <c r="F149" s="26">
        <v>9.42</v>
      </c>
      <c r="I149" s="97" t="s">
        <v>118</v>
      </c>
      <c r="J149" s="98"/>
      <c r="K149" s="98"/>
      <c r="L149" s="98"/>
      <c r="M149" s="26">
        <v>9.42</v>
      </c>
    </row>
    <row r="150" spans="2:14" ht="18" customHeight="1" x14ac:dyDescent="0.4">
      <c r="B150" s="97" t="s">
        <v>110</v>
      </c>
      <c r="C150" s="98"/>
      <c r="D150" s="98"/>
      <c r="E150" s="98"/>
      <c r="F150" s="26">
        <v>66.09</v>
      </c>
      <c r="I150" s="97" t="s">
        <v>110</v>
      </c>
      <c r="J150" s="98"/>
      <c r="K150" s="98"/>
      <c r="L150" s="98"/>
      <c r="M150" s="26">
        <v>66.09</v>
      </c>
    </row>
    <row r="151" spans="2:14" ht="18" customHeight="1" x14ac:dyDescent="0.4">
      <c r="B151" s="97" t="s">
        <v>185</v>
      </c>
      <c r="C151" s="98"/>
      <c r="D151" s="98"/>
      <c r="E151" s="98"/>
      <c r="F151" s="26">
        <v>155</v>
      </c>
      <c r="I151" s="97" t="s">
        <v>185</v>
      </c>
      <c r="J151" s="98"/>
      <c r="K151" s="98"/>
      <c r="L151" s="98"/>
      <c r="M151" s="26">
        <v>155</v>
      </c>
    </row>
    <row r="152" spans="2:14" ht="18" customHeight="1" x14ac:dyDescent="0.4">
      <c r="B152" s="97" t="s">
        <v>132</v>
      </c>
      <c r="C152" s="98"/>
      <c r="D152" s="98"/>
      <c r="E152" s="98"/>
      <c r="F152" s="26">
        <v>13.97</v>
      </c>
      <c r="I152" s="97" t="s">
        <v>132</v>
      </c>
      <c r="J152" s="98"/>
      <c r="K152" s="98"/>
      <c r="L152" s="98"/>
      <c r="M152" s="26">
        <v>13.97</v>
      </c>
    </row>
    <row r="153" spans="2:14" ht="18" customHeight="1" x14ac:dyDescent="0.4">
      <c r="B153" s="104" t="s">
        <v>112</v>
      </c>
      <c r="C153" s="105"/>
      <c r="D153" s="105"/>
      <c r="E153" s="105"/>
      <c r="F153" s="30">
        <f>SUM(F144:F146)-SUM(F148:F152)</f>
        <v>1346.27</v>
      </c>
      <c r="I153" s="104" t="s">
        <v>112</v>
      </c>
      <c r="J153" s="105"/>
      <c r="K153" s="105"/>
      <c r="L153" s="105"/>
      <c r="M153" s="30">
        <f>SUM(M144:M146)-SUM(M148:M152)</f>
        <v>1346.27</v>
      </c>
    </row>
    <row r="154" spans="2:14" ht="45" customHeight="1" x14ac:dyDescent="0.4">
      <c r="B154" s="103" t="s">
        <v>186</v>
      </c>
      <c r="C154" s="103"/>
      <c r="D154" s="103"/>
      <c r="E154" s="103"/>
      <c r="F154" s="103"/>
      <c r="G154" s="38"/>
      <c r="I154" s="103" t="s">
        <v>186</v>
      </c>
      <c r="J154" s="103"/>
      <c r="K154" s="103"/>
      <c r="L154" s="103"/>
      <c r="M154" s="103"/>
      <c r="N154" s="39"/>
    </row>
    <row r="155" spans="2:14" ht="22.5" customHeight="1" x14ac:dyDescent="0.3">
      <c r="B155" s="109" t="s">
        <v>114</v>
      </c>
      <c r="C155" s="109"/>
      <c r="D155" s="109"/>
      <c r="E155" s="109"/>
      <c r="F155" s="109"/>
      <c r="G155" s="109"/>
      <c r="I155" s="109" t="s">
        <v>114</v>
      </c>
      <c r="J155" s="109"/>
      <c r="K155" s="109"/>
      <c r="L155" s="109"/>
      <c r="M155" s="109"/>
      <c r="N155" s="109"/>
    </row>
    <row r="156" spans="2:14" ht="27" customHeight="1" x14ac:dyDescent="0.4">
      <c r="B156" s="33"/>
      <c r="C156" s="35"/>
      <c r="D156" s="35"/>
      <c r="E156" s="35"/>
      <c r="F156" s="35"/>
      <c r="G156" s="35"/>
      <c r="I156" s="33"/>
      <c r="J156" s="35"/>
      <c r="K156" s="35"/>
      <c r="L156" s="35"/>
      <c r="M156" s="35"/>
      <c r="N156" s="35"/>
    </row>
    <row r="157" spans="2:14" ht="17.100000000000001" customHeight="1" x14ac:dyDescent="0.4">
      <c r="B157" s="40"/>
      <c r="C157" s="108" t="s">
        <v>153</v>
      </c>
      <c r="D157" s="108"/>
      <c r="E157" s="108"/>
      <c r="F157" s="108"/>
      <c r="G157" s="40"/>
      <c r="I157" s="40"/>
      <c r="J157" s="108" t="s">
        <v>153</v>
      </c>
      <c r="K157" s="108"/>
      <c r="L157" s="108"/>
      <c r="M157" s="108"/>
      <c r="N157" s="40"/>
    </row>
  </sheetData>
  <mergeCells count="219">
    <mergeCell ref="I40:L40"/>
    <mergeCell ref="I93:L93"/>
    <mergeCell ref="I124:L124"/>
    <mergeCell ref="B9:E9"/>
    <mergeCell ref="I9:L9"/>
    <mergeCell ref="B4:F4"/>
    <mergeCell ref="I4:M4"/>
    <mergeCell ref="B5:F5"/>
    <mergeCell ref="I5:M5"/>
    <mergeCell ref="B6:F6"/>
    <mergeCell ref="I6:M6"/>
    <mergeCell ref="I13:L13"/>
    <mergeCell ref="B13:E13"/>
    <mergeCell ref="B33:F33"/>
    <mergeCell ref="I33:M33"/>
    <mergeCell ref="B10:E10"/>
    <mergeCell ref="I10:L10"/>
    <mergeCell ref="B11:E11"/>
    <mergeCell ref="I11:L11"/>
    <mergeCell ref="B12:E12"/>
    <mergeCell ref="I12:L12"/>
    <mergeCell ref="B19:G19"/>
    <mergeCell ref="I19:N19"/>
    <mergeCell ref="C21:F21"/>
    <mergeCell ref="B1:F1"/>
    <mergeCell ref="I1:M1"/>
    <mergeCell ref="B2:F2"/>
    <mergeCell ref="I2:M2"/>
    <mergeCell ref="B3:F3"/>
    <mergeCell ref="I3:M3"/>
    <mergeCell ref="B7:E7"/>
    <mergeCell ref="I7:L7"/>
    <mergeCell ref="B8:E8"/>
    <mergeCell ref="I8:L8"/>
    <mergeCell ref="J21:M21"/>
    <mergeCell ref="B14:E14"/>
    <mergeCell ref="I14:L14"/>
    <mergeCell ref="B30:F30"/>
    <mergeCell ref="I30:M30"/>
    <mergeCell ref="B31:F31"/>
    <mergeCell ref="I31:M31"/>
    <mergeCell ref="B32:F32"/>
    <mergeCell ref="I32:M32"/>
    <mergeCell ref="B29:F29"/>
    <mergeCell ref="I29:M29"/>
    <mergeCell ref="B16:E16"/>
    <mergeCell ref="I16:L16"/>
    <mergeCell ref="B17:E17"/>
    <mergeCell ref="I17:L17"/>
    <mergeCell ref="B18:F18"/>
    <mergeCell ref="I18:M18"/>
    <mergeCell ref="B15:E15"/>
    <mergeCell ref="I15:L15"/>
    <mergeCell ref="B38:E38"/>
    <mergeCell ref="I38:L38"/>
    <mergeCell ref="B39:E39"/>
    <mergeCell ref="I39:L39"/>
    <mergeCell ref="B36:E36"/>
    <mergeCell ref="I36:L36"/>
    <mergeCell ref="B37:E37"/>
    <mergeCell ref="I37:L37"/>
    <mergeCell ref="B34:F34"/>
    <mergeCell ref="I34:M34"/>
    <mergeCell ref="B35:E35"/>
    <mergeCell ref="I35:L35"/>
    <mergeCell ref="B44:G44"/>
    <mergeCell ref="I44:N44"/>
    <mergeCell ref="C46:F46"/>
    <mergeCell ref="J46:M46"/>
    <mergeCell ref="B57:F57"/>
    <mergeCell ref="I57:M57"/>
    <mergeCell ref="B41:E41"/>
    <mergeCell ref="I41:L41"/>
    <mergeCell ref="B42:E42"/>
    <mergeCell ref="I42:L42"/>
    <mergeCell ref="B43:F43"/>
    <mergeCell ref="I43:M43"/>
    <mergeCell ref="B61:F61"/>
    <mergeCell ref="I61:M61"/>
    <mergeCell ref="B62:F62"/>
    <mergeCell ref="I62:M62"/>
    <mergeCell ref="B63:E63"/>
    <mergeCell ref="I63:L63"/>
    <mergeCell ref="B58:F58"/>
    <mergeCell ref="I58:M58"/>
    <mergeCell ref="B59:F59"/>
    <mergeCell ref="I59:M59"/>
    <mergeCell ref="B60:F60"/>
    <mergeCell ref="I60:M60"/>
    <mergeCell ref="B72:G72"/>
    <mergeCell ref="I72:N72"/>
    <mergeCell ref="J74:M74"/>
    <mergeCell ref="B68:E68"/>
    <mergeCell ref="I70:L70"/>
    <mergeCell ref="B70:E70"/>
    <mergeCell ref="B71:F71"/>
    <mergeCell ref="I71:M71"/>
    <mergeCell ref="B64:E64"/>
    <mergeCell ref="I64:L64"/>
    <mergeCell ref="B65:E65"/>
    <mergeCell ref="I65:L65"/>
    <mergeCell ref="B67:E67"/>
    <mergeCell ref="I67:L67"/>
    <mergeCell ref="B66:E66"/>
    <mergeCell ref="I66:L66"/>
    <mergeCell ref="B84:F84"/>
    <mergeCell ref="I84:M84"/>
    <mergeCell ref="B85:F85"/>
    <mergeCell ref="I85:M85"/>
    <mergeCell ref="B86:F86"/>
    <mergeCell ref="I86:M86"/>
    <mergeCell ref="B82:F82"/>
    <mergeCell ref="I82:M82"/>
    <mergeCell ref="B83:F83"/>
    <mergeCell ref="I83:M83"/>
    <mergeCell ref="I92:L92"/>
    <mergeCell ref="B92:E92"/>
    <mergeCell ref="B94:E94"/>
    <mergeCell ref="I94:L94"/>
    <mergeCell ref="I90:L90"/>
    <mergeCell ref="B90:E90"/>
    <mergeCell ref="B91:E91"/>
    <mergeCell ref="I91:L91"/>
    <mergeCell ref="B87:F87"/>
    <mergeCell ref="I87:M87"/>
    <mergeCell ref="B88:E88"/>
    <mergeCell ref="I88:L88"/>
    <mergeCell ref="B89:E89"/>
    <mergeCell ref="I89:L89"/>
    <mergeCell ref="B93:E93"/>
    <mergeCell ref="B108:F108"/>
    <mergeCell ref="I108:M108"/>
    <mergeCell ref="B109:F109"/>
    <mergeCell ref="I109:M109"/>
    <mergeCell ref="B110:F110"/>
    <mergeCell ref="I110:M110"/>
    <mergeCell ref="B95:F95"/>
    <mergeCell ref="I95:M95"/>
    <mergeCell ref="B96:G96"/>
    <mergeCell ref="I96:N96"/>
    <mergeCell ref="B98:F98"/>
    <mergeCell ref="I98:M98"/>
    <mergeCell ref="B114:E114"/>
    <mergeCell ref="I114:L114"/>
    <mergeCell ref="B115:E115"/>
    <mergeCell ref="I115:L115"/>
    <mergeCell ref="B111:F111"/>
    <mergeCell ref="I111:M111"/>
    <mergeCell ref="B112:F112"/>
    <mergeCell ref="I112:M112"/>
    <mergeCell ref="B113:F113"/>
    <mergeCell ref="I113:M113"/>
    <mergeCell ref="B123:E123"/>
    <mergeCell ref="I123:L123"/>
    <mergeCell ref="B125:E125"/>
    <mergeCell ref="I125:L125"/>
    <mergeCell ref="B119:E119"/>
    <mergeCell ref="I119:L119"/>
    <mergeCell ref="B120:E120"/>
    <mergeCell ref="I120:L120"/>
    <mergeCell ref="B116:E116"/>
    <mergeCell ref="I116:L116"/>
    <mergeCell ref="B117:E117"/>
    <mergeCell ref="I117:L117"/>
    <mergeCell ref="B118:E118"/>
    <mergeCell ref="I118:L118"/>
    <mergeCell ref="B122:E122"/>
    <mergeCell ref="B121:E121"/>
    <mergeCell ref="I121:L121"/>
    <mergeCell ref="I122:L122"/>
    <mergeCell ref="B124:E124"/>
    <mergeCell ref="B138:F138"/>
    <mergeCell ref="I138:M138"/>
    <mergeCell ref="B139:F139"/>
    <mergeCell ref="I139:M139"/>
    <mergeCell ref="B140:F140"/>
    <mergeCell ref="I140:M140"/>
    <mergeCell ref="B126:F126"/>
    <mergeCell ref="I126:M126"/>
    <mergeCell ref="B127:G127"/>
    <mergeCell ref="I127:N127"/>
    <mergeCell ref="C129:F129"/>
    <mergeCell ref="J129:M129"/>
    <mergeCell ref="B144:E144"/>
    <mergeCell ref="I144:L144"/>
    <mergeCell ref="B145:E145"/>
    <mergeCell ref="I145:L145"/>
    <mergeCell ref="B146:E146"/>
    <mergeCell ref="I146:L146"/>
    <mergeCell ref="B141:F141"/>
    <mergeCell ref="I141:M141"/>
    <mergeCell ref="B142:F142"/>
    <mergeCell ref="I142:M142"/>
    <mergeCell ref="B143:F143"/>
    <mergeCell ref="I143:M143"/>
    <mergeCell ref="B151:E151"/>
    <mergeCell ref="I151:L151"/>
    <mergeCell ref="B40:E40"/>
    <mergeCell ref="B155:G155"/>
    <mergeCell ref="I155:N155"/>
    <mergeCell ref="C157:F157"/>
    <mergeCell ref="J157:M157"/>
    <mergeCell ref="B69:E69"/>
    <mergeCell ref="I68:L68"/>
    <mergeCell ref="I69:L69"/>
    <mergeCell ref="B152:E152"/>
    <mergeCell ref="I152:L152"/>
    <mergeCell ref="B153:E153"/>
    <mergeCell ref="I153:L153"/>
    <mergeCell ref="B154:F154"/>
    <mergeCell ref="I154:M154"/>
    <mergeCell ref="B149:E149"/>
    <mergeCell ref="I149:L149"/>
    <mergeCell ref="B150:E150"/>
    <mergeCell ref="I150:L150"/>
    <mergeCell ref="B147:E147"/>
    <mergeCell ref="I147:L147"/>
    <mergeCell ref="B148:E148"/>
    <mergeCell ref="I148:L148"/>
  </mergeCells>
  <dataValidations count="1">
    <dataValidation allowBlank="1" showInputMessage="1" showErrorMessage="1" prompt="O título da planilha está nesta célula. Insira o nome do cartão de crédito para atualizar o título" sqref="B1 B108 B82 I108 I1 B29 B57 B138 I29 I82 I138 I57" xr:uid="{00000000-0002-0000-0A00-000000000000}"/>
  </dataValidations>
  <printOptions horizontalCentered="1"/>
  <pageMargins left="0" right="0" top="0" bottom="0" header="0" footer="0"/>
  <pageSetup paperSize="9" fitToHeight="0" orientation="landscape"/>
  <headerFooter scaleWithDoc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/>
  </sheetPr>
  <dimension ref="B1:P152"/>
  <sheetViews>
    <sheetView zoomScale="110" workbookViewId="0">
      <selection activeCell="I139" sqref="I139:M148"/>
    </sheetView>
  </sheetViews>
  <sheetFormatPr defaultColWidth="8.88671875" defaultRowHeight="18.75" x14ac:dyDescent="0.4"/>
  <cols>
    <col min="1" max="1" width="2.21875" customWidth="1"/>
    <col min="2" max="2" width="17.6640625" customWidth="1"/>
    <col min="5" max="5" width="8.109375" customWidth="1"/>
    <col min="6" max="6" width="14.33203125" customWidth="1"/>
    <col min="7" max="7" width="1.6640625" customWidth="1"/>
    <col min="8" max="8" width="2.21875" customWidth="1"/>
    <col min="9" max="9" width="17.6640625" customWidth="1"/>
    <col min="13" max="13" width="14" customWidth="1"/>
    <col min="14" max="14" width="1.6640625" customWidth="1"/>
    <col min="15" max="16" width="10.77734375" bestFit="1" customWidth="1"/>
  </cols>
  <sheetData>
    <row r="1" spans="2:14" ht="43.5" customHeight="1" x14ac:dyDescent="0.4">
      <c r="B1" s="102" t="s">
        <v>96</v>
      </c>
      <c r="C1" s="102"/>
      <c r="D1" s="102"/>
      <c r="E1" s="102"/>
      <c r="F1" s="102"/>
      <c r="I1" s="102" t="s">
        <v>96</v>
      </c>
      <c r="J1" s="102"/>
      <c r="K1" s="102"/>
      <c r="L1" s="102"/>
      <c r="M1" s="102"/>
    </row>
    <row r="2" spans="2:14" ht="21" customHeight="1" x14ac:dyDescent="0.4">
      <c r="B2" s="110" t="s">
        <v>97</v>
      </c>
      <c r="C2" s="110"/>
      <c r="D2" s="110"/>
      <c r="E2" s="110"/>
      <c r="F2" s="110"/>
      <c r="G2" s="24"/>
      <c r="I2" s="110" t="s">
        <v>97</v>
      </c>
      <c r="J2" s="110"/>
      <c r="K2" s="110"/>
      <c r="L2" s="110"/>
      <c r="M2" s="110"/>
      <c r="N2" s="24"/>
    </row>
    <row r="3" spans="2:14" ht="21" customHeight="1" x14ac:dyDescent="0.4">
      <c r="B3" s="110" t="s">
        <v>98</v>
      </c>
      <c r="C3" s="110"/>
      <c r="D3" s="110"/>
      <c r="E3" s="110"/>
      <c r="F3" s="110"/>
      <c r="G3" s="24"/>
      <c r="I3" s="110" t="s">
        <v>98</v>
      </c>
      <c r="J3" s="110"/>
      <c r="K3" s="110"/>
      <c r="L3" s="110"/>
      <c r="M3" s="110"/>
      <c r="N3" s="24"/>
    </row>
    <row r="4" spans="2:14" ht="21" customHeight="1" x14ac:dyDescent="0.4">
      <c r="B4" s="110" t="s">
        <v>99</v>
      </c>
      <c r="C4" s="110"/>
      <c r="D4" s="110"/>
      <c r="E4" s="110"/>
      <c r="F4" s="110"/>
      <c r="G4" s="24"/>
      <c r="I4" s="110" t="s">
        <v>99</v>
      </c>
      <c r="J4" s="110"/>
      <c r="K4" s="110"/>
      <c r="L4" s="110"/>
      <c r="M4" s="110"/>
      <c r="N4" s="24"/>
    </row>
    <row r="5" spans="2:14" ht="18" customHeight="1" x14ac:dyDescent="0.4">
      <c r="B5" s="114" t="s">
        <v>100</v>
      </c>
      <c r="C5" s="115"/>
      <c r="D5" s="115"/>
      <c r="E5" s="115"/>
      <c r="F5" s="116"/>
      <c r="I5" s="114" t="s">
        <v>100</v>
      </c>
      <c r="J5" s="115"/>
      <c r="K5" s="115"/>
      <c r="L5" s="115"/>
      <c r="M5" s="116"/>
    </row>
    <row r="6" spans="2:14" ht="18" customHeight="1" x14ac:dyDescent="0.4">
      <c r="B6" s="111" t="s">
        <v>101</v>
      </c>
      <c r="C6" s="112"/>
      <c r="D6" s="112"/>
      <c r="E6" s="112"/>
      <c r="F6" s="113"/>
      <c r="I6" s="111" t="s">
        <v>101</v>
      </c>
      <c r="J6" s="112"/>
      <c r="K6" s="112"/>
      <c r="L6" s="112"/>
      <c r="M6" s="113"/>
    </row>
    <row r="7" spans="2:14" x14ac:dyDescent="0.4">
      <c r="B7" s="97" t="s">
        <v>187</v>
      </c>
      <c r="C7" s="98"/>
      <c r="D7" s="98"/>
      <c r="E7" s="98"/>
      <c r="F7" s="26">
        <v>2400</v>
      </c>
      <c r="I7" s="97" t="s">
        <v>187</v>
      </c>
      <c r="J7" s="98"/>
      <c r="K7" s="98"/>
      <c r="L7" s="98"/>
      <c r="M7" s="26">
        <v>2400</v>
      </c>
    </row>
    <row r="8" spans="2:14" x14ac:dyDescent="0.4">
      <c r="B8" s="97" t="s">
        <v>188</v>
      </c>
      <c r="C8" s="98"/>
      <c r="D8" s="98"/>
      <c r="E8" s="98"/>
      <c r="F8" s="26">
        <v>60</v>
      </c>
      <c r="I8" s="97" t="s">
        <v>188</v>
      </c>
      <c r="J8" s="98"/>
      <c r="K8" s="98"/>
      <c r="L8" s="98"/>
      <c r="M8" s="26">
        <v>60</v>
      </c>
    </row>
    <row r="9" spans="2:14" x14ac:dyDescent="0.4">
      <c r="B9" s="97" t="s">
        <v>105</v>
      </c>
      <c r="C9" s="98"/>
      <c r="D9" s="98"/>
      <c r="E9" s="98"/>
      <c r="F9" s="26">
        <v>310.08</v>
      </c>
      <c r="I9" s="97" t="s">
        <v>105</v>
      </c>
      <c r="J9" s="98"/>
      <c r="K9" s="98"/>
      <c r="L9" s="98"/>
      <c r="M9" s="26">
        <v>310.08</v>
      </c>
    </row>
    <row r="10" spans="2:14" x14ac:dyDescent="0.4">
      <c r="B10" s="97" t="s">
        <v>106</v>
      </c>
      <c r="C10" s="98"/>
      <c r="D10" s="98"/>
      <c r="E10" s="98"/>
      <c r="F10" s="26"/>
      <c r="I10" s="97" t="s">
        <v>106</v>
      </c>
      <c r="J10" s="98"/>
      <c r="K10" s="98"/>
      <c r="L10" s="98"/>
      <c r="M10" s="26"/>
    </row>
    <row r="11" spans="2:14" ht="18" customHeight="1" x14ac:dyDescent="0.4">
      <c r="B11" s="99" t="s">
        <v>107</v>
      </c>
      <c r="C11" s="100"/>
      <c r="D11" s="100"/>
      <c r="E11" s="100"/>
      <c r="F11" s="29"/>
      <c r="I11" s="99" t="s">
        <v>107</v>
      </c>
      <c r="J11" s="100"/>
      <c r="K11" s="100"/>
      <c r="L11" s="100"/>
      <c r="M11" s="29"/>
    </row>
    <row r="12" spans="2:14" ht="18" customHeight="1" x14ac:dyDescent="0.4">
      <c r="B12" s="97" t="s">
        <v>109</v>
      </c>
      <c r="C12" s="98"/>
      <c r="D12" s="98"/>
      <c r="E12" s="98"/>
      <c r="F12" s="26"/>
      <c r="I12" s="97" t="s">
        <v>109</v>
      </c>
      <c r="J12" s="98"/>
      <c r="K12" s="98"/>
      <c r="L12" s="98"/>
      <c r="M12" s="26"/>
    </row>
    <row r="13" spans="2:14" ht="18" customHeight="1" x14ac:dyDescent="0.4">
      <c r="B13" s="97" t="s">
        <v>110</v>
      </c>
      <c r="C13" s="98"/>
      <c r="D13" s="98"/>
      <c r="E13" s="98"/>
      <c r="F13" s="26">
        <f>114.78+63</f>
        <v>177.78</v>
      </c>
      <c r="I13" s="97" t="s">
        <v>110</v>
      </c>
      <c r="J13" s="98"/>
      <c r="K13" s="98"/>
      <c r="L13" s="98"/>
      <c r="M13" s="26">
        <f>114.78+63</f>
        <v>177.78</v>
      </c>
    </row>
    <row r="14" spans="2:14" ht="18" customHeight="1" x14ac:dyDescent="0.4">
      <c r="B14" s="97" t="s">
        <v>189</v>
      </c>
      <c r="C14" s="98"/>
      <c r="D14" s="98"/>
      <c r="E14" s="98"/>
      <c r="F14" s="26">
        <v>110</v>
      </c>
      <c r="I14" s="97" t="s">
        <v>189</v>
      </c>
      <c r="J14" s="98"/>
      <c r="K14" s="98"/>
      <c r="L14" s="98"/>
      <c r="M14" s="26">
        <v>110</v>
      </c>
    </row>
    <row r="15" spans="2:14" ht="18" customHeight="1" x14ac:dyDescent="0.4">
      <c r="B15" s="104" t="s">
        <v>112</v>
      </c>
      <c r="C15" s="105"/>
      <c r="D15" s="105"/>
      <c r="E15" s="105"/>
      <c r="F15" s="30">
        <f>SUM(F7:F10)-SUM(F12:F14)</f>
        <v>2482.3000000000002</v>
      </c>
      <c r="I15" s="104" t="s">
        <v>112</v>
      </c>
      <c r="J15" s="105"/>
      <c r="K15" s="105"/>
      <c r="L15" s="105"/>
      <c r="M15" s="30">
        <f>SUM(M7:M10)-SUM(M12:M14)</f>
        <v>2482.3000000000002</v>
      </c>
    </row>
    <row r="16" spans="2:14" ht="48.95" customHeight="1" x14ac:dyDescent="0.4">
      <c r="B16" s="103" t="s">
        <v>190</v>
      </c>
      <c r="C16" s="103"/>
      <c r="D16" s="103"/>
      <c r="E16" s="103"/>
      <c r="F16" s="103"/>
      <c r="G16" s="31"/>
      <c r="H16" s="32"/>
      <c r="I16" s="103" t="s">
        <v>190</v>
      </c>
      <c r="J16" s="103"/>
      <c r="K16" s="103"/>
      <c r="L16" s="103"/>
      <c r="M16" s="103"/>
      <c r="N16" s="33"/>
    </row>
    <row r="17" spans="2:14" ht="22.5" customHeight="1" x14ac:dyDescent="0.3">
      <c r="B17" s="109" t="s">
        <v>114</v>
      </c>
      <c r="C17" s="109"/>
      <c r="D17" s="109"/>
      <c r="E17" s="109"/>
      <c r="F17" s="109"/>
      <c r="G17" s="109"/>
      <c r="I17" s="109" t="s">
        <v>114</v>
      </c>
      <c r="J17" s="109"/>
      <c r="K17" s="109"/>
      <c r="L17" s="109"/>
      <c r="M17" s="109"/>
      <c r="N17" s="109"/>
    </row>
    <row r="18" spans="2:14" ht="32.25" customHeight="1" x14ac:dyDescent="0.4">
      <c r="B18" s="33"/>
      <c r="C18" s="35"/>
      <c r="D18" s="35"/>
      <c r="E18" s="35"/>
      <c r="F18" s="35"/>
      <c r="G18" s="35"/>
      <c r="I18" s="33"/>
      <c r="J18" s="35"/>
      <c r="K18" s="35"/>
      <c r="L18" s="35"/>
      <c r="M18" s="35"/>
      <c r="N18" s="35"/>
    </row>
    <row r="19" spans="2:14" ht="16.899999999999999" customHeight="1" x14ac:dyDescent="0.4">
      <c r="B19" s="36"/>
      <c r="C19" s="108" t="s">
        <v>115</v>
      </c>
      <c r="D19" s="108"/>
      <c r="E19" s="108"/>
      <c r="F19" s="108"/>
      <c r="G19" s="36"/>
      <c r="I19" s="36"/>
      <c r="J19" s="108" t="s">
        <v>115</v>
      </c>
      <c r="K19" s="108"/>
      <c r="L19" s="108"/>
      <c r="M19" s="108"/>
      <c r="N19" s="36"/>
    </row>
    <row r="20" spans="2:14" ht="16.899999999999999" customHeight="1" x14ac:dyDescent="0.4">
      <c r="B20" s="36"/>
      <c r="C20" s="37"/>
      <c r="D20" s="37"/>
      <c r="E20" s="37"/>
      <c r="F20" s="37"/>
      <c r="G20" s="36"/>
      <c r="I20" s="36"/>
      <c r="J20" s="37"/>
      <c r="K20" s="37"/>
      <c r="L20" s="37"/>
      <c r="M20" s="37"/>
      <c r="N20" s="36"/>
    </row>
    <row r="21" spans="2:14" ht="16.899999999999999" customHeight="1" x14ac:dyDescent="0.4">
      <c r="B21" s="36"/>
      <c r="C21" s="37"/>
      <c r="D21" s="37"/>
      <c r="E21" s="37"/>
      <c r="F21" s="37"/>
      <c r="G21" s="36"/>
      <c r="I21" s="36"/>
      <c r="J21" s="37"/>
      <c r="K21" s="37"/>
      <c r="L21" s="37"/>
      <c r="M21" s="37"/>
      <c r="N21" s="36"/>
    </row>
    <row r="22" spans="2:14" ht="16.899999999999999" customHeight="1" x14ac:dyDescent="0.4">
      <c r="B22" s="36"/>
      <c r="C22" s="37"/>
      <c r="D22" s="37"/>
      <c r="E22" s="37"/>
      <c r="F22" s="37"/>
      <c r="G22" s="36"/>
      <c r="I22" s="36"/>
      <c r="J22" s="37"/>
      <c r="K22" s="37"/>
      <c r="L22" s="37"/>
      <c r="M22" s="37"/>
      <c r="N22" s="36"/>
    </row>
    <row r="23" spans="2:14" ht="16.899999999999999" customHeight="1" x14ac:dyDescent="0.4">
      <c r="B23" s="36"/>
      <c r="C23" s="37"/>
      <c r="D23" s="37"/>
      <c r="E23" s="37"/>
      <c r="F23" s="37"/>
      <c r="G23" s="36"/>
      <c r="I23" s="36"/>
      <c r="J23" s="37"/>
      <c r="K23" s="37"/>
      <c r="L23" s="37"/>
      <c r="M23" s="37"/>
      <c r="N23" s="36"/>
    </row>
    <row r="24" spans="2:14" ht="16.899999999999999" customHeight="1" x14ac:dyDescent="0.4">
      <c r="B24" s="36"/>
      <c r="C24" s="37"/>
      <c r="D24" s="37"/>
      <c r="E24" s="37"/>
      <c r="F24" s="37"/>
      <c r="G24" s="36"/>
      <c r="I24" s="36"/>
      <c r="J24" s="37"/>
      <c r="K24" s="37"/>
      <c r="L24" s="37"/>
      <c r="M24" s="37"/>
      <c r="N24" s="36"/>
    </row>
    <row r="25" spans="2:14" ht="16.899999999999999" customHeight="1" x14ac:dyDescent="0.4">
      <c r="B25" s="36"/>
      <c r="C25" s="37"/>
      <c r="D25" s="37"/>
      <c r="E25" s="37"/>
      <c r="F25" s="37"/>
      <c r="G25" s="36"/>
      <c r="I25" s="36"/>
      <c r="J25" s="37"/>
      <c r="K25" s="37"/>
      <c r="L25" s="37"/>
      <c r="M25" s="37"/>
      <c r="N25" s="36"/>
    </row>
    <row r="26" spans="2:14" ht="16.899999999999999" customHeight="1" x14ac:dyDescent="0.4">
      <c r="B26" s="36"/>
      <c r="C26" s="37"/>
      <c r="D26" s="37"/>
      <c r="E26" s="37"/>
      <c r="F26" s="37"/>
      <c r="G26" s="36"/>
      <c r="I26" s="36"/>
      <c r="J26" s="37"/>
      <c r="K26" s="37"/>
      <c r="L26" s="37"/>
      <c r="M26" s="37"/>
      <c r="N26" s="36"/>
    </row>
    <row r="27" spans="2:14" ht="47.25" customHeight="1" x14ac:dyDescent="0.4">
      <c r="B27" s="102" t="s">
        <v>96</v>
      </c>
      <c r="C27" s="102"/>
      <c r="D27" s="102"/>
      <c r="E27" s="102"/>
      <c r="F27" s="102"/>
      <c r="I27" s="102" t="s">
        <v>96</v>
      </c>
      <c r="J27" s="102"/>
      <c r="K27" s="102"/>
      <c r="L27" s="102"/>
      <c r="M27" s="102"/>
    </row>
    <row r="28" spans="2:14" ht="21" customHeight="1" x14ac:dyDescent="0.4">
      <c r="B28" s="110" t="s">
        <v>97</v>
      </c>
      <c r="C28" s="110"/>
      <c r="D28" s="110"/>
      <c r="E28" s="110"/>
      <c r="F28" s="110"/>
      <c r="G28" s="24"/>
      <c r="I28" s="110" t="s">
        <v>97</v>
      </c>
      <c r="J28" s="110"/>
      <c r="K28" s="110"/>
      <c r="L28" s="110"/>
      <c r="M28" s="110"/>
      <c r="N28" s="24"/>
    </row>
    <row r="29" spans="2:14" ht="21" customHeight="1" x14ac:dyDescent="0.4">
      <c r="B29" s="110" t="s">
        <v>98</v>
      </c>
      <c r="C29" s="110"/>
      <c r="D29" s="110"/>
      <c r="E29" s="110"/>
      <c r="F29" s="110"/>
      <c r="G29" s="24"/>
      <c r="I29" s="110" t="s">
        <v>98</v>
      </c>
      <c r="J29" s="110"/>
      <c r="K29" s="110"/>
      <c r="L29" s="110"/>
      <c r="M29" s="110"/>
      <c r="N29" s="24"/>
    </row>
    <row r="30" spans="2:14" ht="21" customHeight="1" x14ac:dyDescent="0.4">
      <c r="B30" s="110" t="s">
        <v>116</v>
      </c>
      <c r="C30" s="110"/>
      <c r="D30" s="110"/>
      <c r="E30" s="110"/>
      <c r="F30" s="110"/>
      <c r="G30" s="24"/>
      <c r="I30" s="110" t="s">
        <v>116</v>
      </c>
      <c r="J30" s="110"/>
      <c r="K30" s="110"/>
      <c r="L30" s="110"/>
      <c r="M30" s="110"/>
      <c r="N30" s="24"/>
    </row>
    <row r="31" spans="2:14" ht="18" customHeight="1" x14ac:dyDescent="0.4">
      <c r="B31" s="114" t="s">
        <v>100</v>
      </c>
      <c r="C31" s="115"/>
      <c r="D31" s="115"/>
      <c r="E31" s="115"/>
      <c r="F31" s="116"/>
      <c r="G31" s="32"/>
      <c r="I31" s="114" t="s">
        <v>100</v>
      </c>
      <c r="J31" s="115"/>
      <c r="K31" s="115"/>
      <c r="L31" s="115"/>
      <c r="M31" s="116"/>
      <c r="N31" s="32"/>
    </row>
    <row r="32" spans="2:14" ht="18" customHeight="1" x14ac:dyDescent="0.4">
      <c r="B32" s="111" t="s">
        <v>101</v>
      </c>
      <c r="C32" s="112"/>
      <c r="D32" s="112"/>
      <c r="E32" s="112"/>
      <c r="F32" s="113"/>
      <c r="G32" s="32"/>
      <c r="I32" s="111" t="s">
        <v>101</v>
      </c>
      <c r="J32" s="112"/>
      <c r="K32" s="112"/>
      <c r="L32" s="112"/>
      <c r="M32" s="113"/>
      <c r="N32" s="32"/>
    </row>
    <row r="33" spans="2:14" ht="18" customHeight="1" x14ac:dyDescent="0.4">
      <c r="B33" s="97" t="s">
        <v>191</v>
      </c>
      <c r="C33" s="98"/>
      <c r="D33" s="98"/>
      <c r="E33" s="98"/>
      <c r="F33" s="26">
        <v>2054.23</v>
      </c>
      <c r="I33" s="97" t="s">
        <v>191</v>
      </c>
      <c r="J33" s="98"/>
      <c r="K33" s="98"/>
      <c r="L33" s="98"/>
      <c r="M33" s="26">
        <v>2054.23</v>
      </c>
    </row>
    <row r="34" spans="2:14" ht="18" customHeight="1" x14ac:dyDescent="0.4">
      <c r="B34" s="97" t="s">
        <v>103</v>
      </c>
      <c r="C34" s="98"/>
      <c r="D34" s="98"/>
      <c r="E34" s="98"/>
      <c r="F34" s="26">
        <f>2500-F33</f>
        <v>445.77</v>
      </c>
      <c r="I34" s="97" t="s">
        <v>103</v>
      </c>
      <c r="J34" s="98"/>
      <c r="K34" s="98"/>
      <c r="L34" s="98"/>
      <c r="M34" s="26">
        <f>2500-M33</f>
        <v>445.77</v>
      </c>
    </row>
    <row r="35" spans="2:14" ht="18" customHeight="1" x14ac:dyDescent="0.4">
      <c r="B35" s="97" t="s">
        <v>192</v>
      </c>
      <c r="C35" s="98"/>
      <c r="D35" s="98"/>
      <c r="E35" s="98"/>
      <c r="F35" s="26">
        <v>100</v>
      </c>
      <c r="I35" s="97" t="s">
        <v>192</v>
      </c>
      <c r="J35" s="98"/>
      <c r="K35" s="98"/>
      <c r="L35" s="98"/>
      <c r="M35" s="26">
        <v>100</v>
      </c>
    </row>
    <row r="36" spans="2:14" ht="18" customHeight="1" x14ac:dyDescent="0.4">
      <c r="B36" s="99" t="s">
        <v>107</v>
      </c>
      <c r="C36" s="100"/>
      <c r="D36" s="100"/>
      <c r="E36" s="100"/>
      <c r="F36" s="29"/>
      <c r="I36" s="99" t="s">
        <v>107</v>
      </c>
      <c r="J36" s="100"/>
      <c r="K36" s="100"/>
      <c r="L36" s="100"/>
      <c r="M36" s="29"/>
    </row>
    <row r="37" spans="2:14" ht="18" customHeight="1" x14ac:dyDescent="0.4">
      <c r="B37" s="97"/>
      <c r="C37" s="98"/>
      <c r="D37" s="98"/>
      <c r="E37" s="98"/>
      <c r="F37" s="29"/>
      <c r="I37" s="97"/>
      <c r="J37" s="98"/>
      <c r="K37" s="98"/>
      <c r="L37" s="98"/>
      <c r="M37" s="29"/>
    </row>
    <row r="38" spans="2:14" ht="18" customHeight="1" x14ac:dyDescent="0.4">
      <c r="B38" s="97" t="s">
        <v>110</v>
      </c>
      <c r="C38" s="98"/>
      <c r="D38" s="98"/>
      <c r="E38" s="98"/>
      <c r="F38" s="26"/>
      <c r="I38" s="97" t="s">
        <v>110</v>
      </c>
      <c r="J38" s="98"/>
      <c r="K38" s="98"/>
      <c r="L38" s="98"/>
      <c r="M38" s="26"/>
    </row>
    <row r="39" spans="2:14" ht="18" customHeight="1" x14ac:dyDescent="0.4">
      <c r="B39" s="104" t="s">
        <v>112</v>
      </c>
      <c r="C39" s="105"/>
      <c r="D39" s="105"/>
      <c r="E39" s="105"/>
      <c r="F39" s="30">
        <f>SUM(F33:F35)-SUM(F37:F38)</f>
        <v>2600</v>
      </c>
      <c r="I39" s="104" t="s">
        <v>112</v>
      </c>
      <c r="J39" s="105"/>
      <c r="K39" s="105"/>
      <c r="L39" s="105"/>
      <c r="M39" s="30">
        <f>SUM(M33:M35)-SUM(M37:M38)</f>
        <v>2600</v>
      </c>
    </row>
    <row r="40" spans="2:14" ht="48.95" customHeight="1" x14ac:dyDescent="0.4">
      <c r="B40" s="103" t="s">
        <v>193</v>
      </c>
      <c r="C40" s="103"/>
      <c r="D40" s="103"/>
      <c r="E40" s="103"/>
      <c r="F40" s="103"/>
      <c r="G40" s="38"/>
      <c r="I40" s="103" t="s">
        <v>193</v>
      </c>
      <c r="J40" s="103"/>
      <c r="K40" s="103"/>
      <c r="L40" s="103"/>
      <c r="M40" s="103"/>
      <c r="N40" s="39"/>
    </row>
    <row r="41" spans="2:14" ht="22.5" customHeight="1" x14ac:dyDescent="0.3">
      <c r="B41" s="109" t="s">
        <v>114</v>
      </c>
      <c r="C41" s="109"/>
      <c r="D41" s="109"/>
      <c r="E41" s="109"/>
      <c r="F41" s="109"/>
      <c r="G41" s="109"/>
      <c r="I41" s="109" t="s">
        <v>114</v>
      </c>
      <c r="J41" s="109"/>
      <c r="K41" s="109"/>
      <c r="L41" s="109"/>
      <c r="M41" s="109"/>
      <c r="N41" s="109"/>
    </row>
    <row r="42" spans="2:14" ht="42.75" customHeight="1" x14ac:dyDescent="0.4">
      <c r="B42" s="33"/>
      <c r="C42" s="35"/>
      <c r="D42" s="35"/>
      <c r="E42" s="35"/>
      <c r="F42" s="35"/>
      <c r="G42" s="35"/>
      <c r="I42" s="33"/>
      <c r="J42" s="35"/>
      <c r="K42" s="35"/>
      <c r="L42" s="35"/>
      <c r="M42" s="35"/>
      <c r="N42" s="35"/>
    </row>
    <row r="43" spans="2:14" ht="17.100000000000001" customHeight="1" x14ac:dyDescent="0.4">
      <c r="B43" s="40"/>
      <c r="C43" s="108" t="s">
        <v>121</v>
      </c>
      <c r="D43" s="108"/>
      <c r="E43" s="108"/>
      <c r="F43" s="108"/>
      <c r="G43" s="40"/>
      <c r="I43" s="40"/>
      <c r="J43" s="108" t="s">
        <v>121</v>
      </c>
      <c r="K43" s="108"/>
      <c r="L43" s="108"/>
      <c r="M43" s="108"/>
      <c r="N43" s="40"/>
    </row>
    <row r="44" spans="2:14" ht="17.100000000000001" customHeight="1" x14ac:dyDescent="0.4">
      <c r="B44" s="40"/>
      <c r="C44" s="37"/>
      <c r="D44" s="37"/>
      <c r="E44" s="37"/>
      <c r="F44" s="37"/>
      <c r="G44" s="40"/>
      <c r="I44" s="40"/>
      <c r="J44" s="37"/>
      <c r="K44" s="37"/>
      <c r="L44" s="37"/>
      <c r="M44" s="37"/>
      <c r="N44" s="40"/>
    </row>
    <row r="45" spans="2:14" ht="17.100000000000001" customHeight="1" x14ac:dyDescent="0.4">
      <c r="B45" s="40"/>
      <c r="C45" s="37"/>
      <c r="D45" s="37"/>
      <c r="E45" s="37"/>
      <c r="F45" s="37"/>
      <c r="G45" s="40"/>
      <c r="I45" s="40"/>
      <c r="J45" s="37"/>
      <c r="K45" s="37"/>
      <c r="L45" s="37"/>
      <c r="M45" s="37"/>
      <c r="N45" s="40"/>
    </row>
    <row r="46" spans="2:14" ht="17.100000000000001" customHeight="1" x14ac:dyDescent="0.4">
      <c r="B46" s="40"/>
      <c r="C46" s="37"/>
      <c r="D46" s="37"/>
      <c r="E46" s="37"/>
      <c r="F46" s="37"/>
      <c r="G46" s="40"/>
      <c r="I46" s="40"/>
      <c r="J46" s="37"/>
      <c r="K46" s="37"/>
      <c r="L46" s="37"/>
      <c r="M46" s="37"/>
      <c r="N46" s="40"/>
    </row>
    <row r="47" spans="2:14" ht="17.100000000000001" customHeight="1" x14ac:dyDescent="0.4">
      <c r="B47" s="40"/>
      <c r="C47" s="37"/>
      <c r="D47" s="37"/>
      <c r="E47" s="37"/>
      <c r="F47" s="37"/>
      <c r="G47" s="40"/>
      <c r="I47" s="40"/>
      <c r="J47" s="37"/>
      <c r="K47" s="37"/>
      <c r="L47" s="37"/>
      <c r="M47" s="37"/>
      <c r="N47" s="40"/>
    </row>
    <row r="48" spans="2:14" ht="17.100000000000001" customHeight="1" x14ac:dyDescent="0.4">
      <c r="B48" s="40"/>
      <c r="C48" s="37"/>
      <c r="D48" s="37"/>
      <c r="E48" s="37"/>
      <c r="F48" s="37"/>
      <c r="G48" s="40"/>
      <c r="I48" s="40"/>
      <c r="J48" s="37"/>
      <c r="K48" s="37"/>
      <c r="L48" s="37"/>
      <c r="M48" s="37"/>
      <c r="N48" s="40"/>
    </row>
    <row r="49" spans="2:14" ht="17.100000000000001" customHeight="1" x14ac:dyDescent="0.4">
      <c r="B49" s="40"/>
      <c r="C49" s="37"/>
      <c r="D49" s="37"/>
      <c r="E49" s="37"/>
      <c r="F49" s="37"/>
      <c r="G49" s="40"/>
      <c r="I49" s="40"/>
      <c r="J49" s="37"/>
      <c r="K49" s="37"/>
      <c r="L49" s="37"/>
      <c r="M49" s="37"/>
      <c r="N49" s="40"/>
    </row>
    <row r="50" spans="2:14" ht="17.100000000000001" customHeight="1" x14ac:dyDescent="0.4">
      <c r="B50" s="40"/>
      <c r="C50" s="37"/>
      <c r="D50" s="37"/>
      <c r="E50" s="37"/>
      <c r="F50" s="37"/>
      <c r="G50" s="40"/>
      <c r="I50" s="40"/>
      <c r="J50" s="37"/>
      <c r="K50" s="37"/>
      <c r="L50" s="37"/>
      <c r="M50" s="37"/>
      <c r="N50" s="40"/>
    </row>
    <row r="51" spans="2:14" ht="17.100000000000001" customHeight="1" x14ac:dyDescent="0.4">
      <c r="B51" s="40"/>
      <c r="C51" s="37"/>
      <c r="D51" s="37"/>
      <c r="E51" s="37"/>
      <c r="F51" s="37"/>
      <c r="G51" s="40"/>
      <c r="I51" s="40"/>
      <c r="J51" s="37"/>
      <c r="K51" s="37"/>
      <c r="L51" s="37"/>
      <c r="M51" s="37"/>
      <c r="N51" s="40"/>
    </row>
    <row r="52" spans="2:14" ht="17.100000000000001" customHeight="1" x14ac:dyDescent="0.4">
      <c r="B52" s="40"/>
      <c r="C52" s="37"/>
      <c r="D52" s="37"/>
      <c r="E52" s="37"/>
      <c r="F52" s="37"/>
      <c r="G52" s="40"/>
      <c r="I52" s="40"/>
      <c r="J52" s="37"/>
      <c r="K52" s="37"/>
      <c r="L52" s="37"/>
      <c r="M52" s="37"/>
      <c r="N52" s="40"/>
    </row>
    <row r="53" spans="2:14" ht="17.100000000000001" customHeight="1" x14ac:dyDescent="0.4">
      <c r="B53" s="40"/>
      <c r="C53" s="37"/>
      <c r="D53" s="37"/>
      <c r="E53" s="37"/>
      <c r="F53" s="37"/>
      <c r="G53" s="40"/>
      <c r="I53" s="40"/>
      <c r="J53" s="37"/>
      <c r="K53" s="37"/>
      <c r="L53" s="37"/>
      <c r="M53" s="37"/>
      <c r="N53" s="40"/>
    </row>
    <row r="54" spans="2:14" ht="47.25" customHeight="1" x14ac:dyDescent="0.4">
      <c r="B54" s="102" t="s">
        <v>96</v>
      </c>
      <c r="C54" s="102"/>
      <c r="D54" s="102"/>
      <c r="E54" s="102"/>
      <c r="F54" s="102"/>
      <c r="I54" s="102" t="s">
        <v>96</v>
      </c>
      <c r="J54" s="102"/>
      <c r="K54" s="102"/>
      <c r="L54" s="102"/>
      <c r="M54" s="102"/>
    </row>
    <row r="55" spans="2:14" ht="21" customHeight="1" x14ac:dyDescent="0.4">
      <c r="B55" s="110" t="s">
        <v>97</v>
      </c>
      <c r="C55" s="110"/>
      <c r="D55" s="110"/>
      <c r="E55" s="110"/>
      <c r="F55" s="110"/>
      <c r="G55" s="24"/>
      <c r="I55" s="110" t="s">
        <v>97</v>
      </c>
      <c r="J55" s="110"/>
      <c r="K55" s="110"/>
      <c r="L55" s="110"/>
      <c r="M55" s="110"/>
      <c r="N55" s="24"/>
    </row>
    <row r="56" spans="2:14" ht="21" customHeight="1" x14ac:dyDescent="0.4">
      <c r="B56" s="110" t="s">
        <v>98</v>
      </c>
      <c r="C56" s="110"/>
      <c r="D56" s="110"/>
      <c r="E56" s="110"/>
      <c r="F56" s="110"/>
      <c r="G56" s="24"/>
      <c r="I56" s="110" t="s">
        <v>98</v>
      </c>
      <c r="J56" s="110"/>
      <c r="K56" s="110"/>
      <c r="L56" s="110"/>
      <c r="M56" s="110"/>
      <c r="N56" s="24"/>
    </row>
    <row r="57" spans="2:14" ht="21" customHeight="1" x14ac:dyDescent="0.4">
      <c r="B57" s="110" t="s">
        <v>122</v>
      </c>
      <c r="C57" s="110"/>
      <c r="D57" s="110"/>
      <c r="E57" s="110"/>
      <c r="F57" s="110"/>
      <c r="G57" s="24"/>
      <c r="I57" s="110" t="s">
        <v>122</v>
      </c>
      <c r="J57" s="110"/>
      <c r="K57" s="110"/>
      <c r="L57" s="110"/>
      <c r="M57" s="110"/>
      <c r="N57" s="24"/>
    </row>
    <row r="58" spans="2:14" ht="18" customHeight="1" x14ac:dyDescent="0.4">
      <c r="B58" s="114" t="s">
        <v>100</v>
      </c>
      <c r="C58" s="115"/>
      <c r="D58" s="115"/>
      <c r="E58" s="115"/>
      <c r="F58" s="116"/>
      <c r="I58" s="114" t="s">
        <v>100</v>
      </c>
      <c r="J58" s="115"/>
      <c r="K58" s="115"/>
      <c r="L58" s="115"/>
      <c r="M58" s="116"/>
    </row>
    <row r="59" spans="2:14" ht="18" customHeight="1" x14ac:dyDescent="0.4">
      <c r="B59" s="111" t="s">
        <v>101</v>
      </c>
      <c r="C59" s="112"/>
      <c r="D59" s="112"/>
      <c r="E59" s="112"/>
      <c r="F59" s="113"/>
      <c r="I59" s="111" t="s">
        <v>101</v>
      </c>
      <c r="J59" s="112"/>
      <c r="K59" s="112"/>
      <c r="L59" s="112"/>
      <c r="M59" s="113"/>
    </row>
    <row r="60" spans="2:14" ht="18" customHeight="1" x14ac:dyDescent="0.4">
      <c r="B60" s="97" t="s">
        <v>191</v>
      </c>
      <c r="C60" s="98"/>
      <c r="D60" s="98"/>
      <c r="E60" s="98"/>
      <c r="F60" s="41"/>
      <c r="I60" s="97" t="s">
        <v>191</v>
      </c>
      <c r="J60" s="98"/>
      <c r="K60" s="98"/>
      <c r="L60" s="98"/>
      <c r="M60" s="41">
        <v>2500</v>
      </c>
    </row>
    <row r="61" spans="2:14" ht="18" customHeight="1" x14ac:dyDescent="0.4">
      <c r="B61" s="106" t="s">
        <v>124</v>
      </c>
      <c r="C61" s="107"/>
      <c r="D61" s="107"/>
      <c r="E61" s="107"/>
      <c r="F61" s="41"/>
      <c r="I61" s="106" t="s">
        <v>124</v>
      </c>
      <c r="J61" s="107"/>
      <c r="K61" s="107"/>
      <c r="L61" s="107"/>
      <c r="M61" s="41">
        <v>150</v>
      </c>
    </row>
    <row r="62" spans="2:14" x14ac:dyDescent="0.4">
      <c r="B62" s="106" t="s">
        <v>106</v>
      </c>
      <c r="C62" s="107"/>
      <c r="D62" s="107"/>
      <c r="E62" s="107"/>
      <c r="F62" s="41"/>
      <c r="I62" s="106" t="s">
        <v>106</v>
      </c>
      <c r="J62" s="107"/>
      <c r="K62" s="107"/>
      <c r="L62" s="107"/>
      <c r="M62" s="41">
        <f>23.28+157.16</f>
        <v>180.44</v>
      </c>
    </row>
    <row r="63" spans="2:14" x14ac:dyDescent="0.4">
      <c r="B63" s="106" t="s">
        <v>194</v>
      </c>
      <c r="C63" s="107"/>
      <c r="D63" s="107"/>
      <c r="E63" s="107"/>
      <c r="F63" s="41"/>
      <c r="I63" s="106" t="s">
        <v>194</v>
      </c>
      <c r="J63" s="107"/>
      <c r="K63" s="107"/>
      <c r="L63" s="107"/>
      <c r="M63" s="41">
        <f>(250/30)*2</f>
        <v>16.666666666666668</v>
      </c>
    </row>
    <row r="64" spans="2:14" ht="18" customHeight="1" x14ac:dyDescent="0.4">
      <c r="B64" s="99" t="s">
        <v>107</v>
      </c>
      <c r="C64" s="100"/>
      <c r="D64" s="100"/>
      <c r="E64" s="100"/>
      <c r="F64" s="29"/>
      <c r="I64" s="99" t="s">
        <v>107</v>
      </c>
      <c r="J64" s="100"/>
      <c r="K64" s="100"/>
      <c r="L64" s="100"/>
      <c r="M64" s="29"/>
    </row>
    <row r="65" spans="2:14" ht="18" customHeight="1" x14ac:dyDescent="0.4">
      <c r="B65" s="97" t="s">
        <v>109</v>
      </c>
      <c r="C65" s="98"/>
      <c r="D65" s="98"/>
      <c r="E65" s="98"/>
      <c r="F65" s="26"/>
      <c r="I65" s="97" t="s">
        <v>109</v>
      </c>
      <c r="J65" s="98"/>
      <c r="K65" s="98"/>
      <c r="L65" s="98"/>
      <c r="M65" s="26">
        <v>230.65</v>
      </c>
    </row>
    <row r="66" spans="2:14" ht="18" customHeight="1" x14ac:dyDescent="0.4">
      <c r="B66" s="97" t="s">
        <v>176</v>
      </c>
      <c r="C66" s="98"/>
      <c r="D66" s="98"/>
      <c r="E66" s="98"/>
      <c r="F66" s="26"/>
      <c r="I66" s="97" t="s">
        <v>176</v>
      </c>
      <c r="J66" s="98"/>
      <c r="K66" s="98"/>
      <c r="L66" s="98"/>
      <c r="M66" s="26">
        <v>40.93</v>
      </c>
    </row>
    <row r="67" spans="2:14" ht="18" customHeight="1" x14ac:dyDescent="0.4">
      <c r="B67" s="117" t="s">
        <v>112</v>
      </c>
      <c r="C67" s="118"/>
      <c r="D67" s="118"/>
      <c r="E67" s="118"/>
      <c r="F67" s="30"/>
      <c r="I67" s="117" t="s">
        <v>112</v>
      </c>
      <c r="J67" s="118"/>
      <c r="K67" s="118"/>
      <c r="L67" s="118"/>
      <c r="M67" s="30">
        <f>SUM(M60:M63)-SUM(M65:M66)</f>
        <v>2575.5266666666666</v>
      </c>
    </row>
    <row r="68" spans="2:14" ht="48.95" customHeight="1" x14ac:dyDescent="0.4">
      <c r="B68" s="103" t="s">
        <v>195</v>
      </c>
      <c r="C68" s="103"/>
      <c r="D68" s="103"/>
      <c r="E68" s="103"/>
      <c r="F68" s="103"/>
      <c r="G68" s="38"/>
      <c r="I68" s="103" t="s">
        <v>195</v>
      </c>
      <c r="J68" s="103"/>
      <c r="K68" s="103"/>
      <c r="L68" s="103"/>
      <c r="M68" s="103"/>
      <c r="N68" s="39"/>
    </row>
    <row r="69" spans="2:14" ht="43.5" customHeight="1" x14ac:dyDescent="0.3">
      <c r="B69" s="109" t="s">
        <v>114</v>
      </c>
      <c r="C69" s="109"/>
      <c r="D69" s="109"/>
      <c r="E69" s="109"/>
      <c r="F69" s="109"/>
      <c r="G69" s="109"/>
      <c r="I69" s="109" t="s">
        <v>114</v>
      </c>
      <c r="J69" s="109"/>
      <c r="K69" s="109"/>
      <c r="L69" s="109"/>
      <c r="M69" s="109"/>
      <c r="N69" s="109"/>
    </row>
    <row r="70" spans="2:14" ht="48.95" customHeight="1" x14ac:dyDescent="0.4">
      <c r="B70" s="33"/>
      <c r="C70" s="35"/>
      <c r="D70" s="35"/>
      <c r="E70" s="35"/>
      <c r="F70" s="35"/>
      <c r="G70" s="35"/>
      <c r="I70" s="33"/>
      <c r="J70" s="35"/>
      <c r="K70" s="35"/>
      <c r="L70" s="35"/>
      <c r="M70" s="35"/>
      <c r="N70" s="35"/>
    </row>
    <row r="71" spans="2:14" ht="17.100000000000001" customHeight="1" x14ac:dyDescent="0.4">
      <c r="B71" s="36"/>
      <c r="C71" s="43" t="s">
        <v>128</v>
      </c>
      <c r="D71" s="43"/>
      <c r="E71" s="43"/>
      <c r="F71" s="43"/>
      <c r="G71" s="36"/>
      <c r="I71" s="36"/>
      <c r="J71" s="108" t="s">
        <v>128</v>
      </c>
      <c r="K71" s="108"/>
      <c r="L71" s="108"/>
      <c r="M71" s="108"/>
      <c r="N71" s="36"/>
    </row>
    <row r="72" spans="2:14" ht="17.100000000000001" customHeight="1" x14ac:dyDescent="0.4">
      <c r="B72" s="36"/>
      <c r="C72" s="37"/>
      <c r="D72" s="37"/>
      <c r="E72" s="37"/>
      <c r="F72" s="37"/>
      <c r="G72" s="36"/>
      <c r="I72" s="36"/>
      <c r="J72" s="37"/>
      <c r="K72" s="37"/>
      <c r="L72" s="37"/>
      <c r="M72" s="37"/>
      <c r="N72" s="36"/>
    </row>
    <row r="73" spans="2:14" ht="17.100000000000001" customHeight="1" x14ac:dyDescent="0.4">
      <c r="B73" s="36"/>
      <c r="C73" s="37"/>
      <c r="D73" s="37"/>
      <c r="E73" s="37"/>
      <c r="F73" s="37"/>
      <c r="G73" s="36"/>
      <c r="I73" s="36"/>
      <c r="J73" s="37"/>
      <c r="K73" s="37"/>
      <c r="L73" s="37"/>
      <c r="M73" s="37"/>
      <c r="N73" s="36"/>
    </row>
    <row r="74" spans="2:14" ht="17.100000000000001" customHeight="1" x14ac:dyDescent="0.4">
      <c r="B74" s="36"/>
      <c r="C74" s="37"/>
      <c r="D74" s="37"/>
      <c r="E74" s="37"/>
      <c r="F74" s="37"/>
      <c r="G74" s="36"/>
      <c r="I74" s="36"/>
      <c r="J74" s="37"/>
      <c r="K74" s="37"/>
      <c r="L74" s="37"/>
      <c r="M74" s="37"/>
      <c r="N74" s="36"/>
    </row>
    <row r="75" spans="2:14" ht="17.100000000000001" customHeight="1" x14ac:dyDescent="0.4">
      <c r="B75" s="36"/>
      <c r="C75" s="37"/>
      <c r="D75" s="37"/>
      <c r="E75" s="37"/>
      <c r="F75" s="37"/>
      <c r="G75" s="36"/>
      <c r="I75" s="36"/>
      <c r="J75" s="37"/>
      <c r="K75" s="37"/>
      <c r="L75" s="37"/>
      <c r="M75" s="37"/>
      <c r="N75" s="36"/>
    </row>
    <row r="76" spans="2:14" ht="17.100000000000001" customHeight="1" x14ac:dyDescent="0.4">
      <c r="B76" s="36"/>
      <c r="C76" s="37"/>
      <c r="D76" s="37"/>
      <c r="E76" s="37"/>
      <c r="F76" s="37"/>
      <c r="G76" s="36"/>
      <c r="I76" s="36"/>
      <c r="J76" s="37"/>
      <c r="K76" s="37"/>
      <c r="L76" s="37"/>
      <c r="M76" s="37"/>
      <c r="N76" s="36"/>
    </row>
    <row r="77" spans="2:14" ht="17.100000000000001" customHeight="1" x14ac:dyDescent="0.4">
      <c r="B77" s="36"/>
      <c r="C77" s="37"/>
      <c r="D77" s="37"/>
      <c r="E77" s="37"/>
      <c r="F77" s="37"/>
      <c r="G77" s="36"/>
      <c r="I77" s="36"/>
      <c r="J77" s="37"/>
      <c r="K77" s="37"/>
      <c r="L77" s="37"/>
      <c r="M77" s="37"/>
      <c r="N77" s="36"/>
    </row>
    <row r="78" spans="2:14" ht="17.100000000000001" customHeight="1" x14ac:dyDescent="0.4">
      <c r="B78" s="36"/>
      <c r="C78" s="37"/>
      <c r="D78" s="37"/>
      <c r="E78" s="37"/>
      <c r="F78" s="37"/>
      <c r="G78" s="36"/>
      <c r="I78" s="36"/>
      <c r="J78" s="37"/>
      <c r="K78" s="37"/>
      <c r="L78" s="37"/>
      <c r="M78" s="37"/>
      <c r="N78" s="36"/>
    </row>
    <row r="79" spans="2:14" ht="47.25" customHeight="1" x14ac:dyDescent="0.4">
      <c r="B79" s="102" t="s">
        <v>96</v>
      </c>
      <c r="C79" s="102"/>
      <c r="D79" s="102"/>
      <c r="E79" s="102"/>
      <c r="F79" s="102"/>
      <c r="I79" s="102" t="s">
        <v>96</v>
      </c>
      <c r="J79" s="102"/>
      <c r="K79" s="102"/>
      <c r="L79" s="102"/>
      <c r="M79" s="102"/>
    </row>
    <row r="80" spans="2:14" ht="21" customHeight="1" x14ac:dyDescent="0.4">
      <c r="B80" s="110" t="s">
        <v>97</v>
      </c>
      <c r="C80" s="110"/>
      <c r="D80" s="110"/>
      <c r="E80" s="110"/>
      <c r="F80" s="110"/>
      <c r="G80" s="24"/>
      <c r="I80" s="110" t="s">
        <v>97</v>
      </c>
      <c r="J80" s="110"/>
      <c r="K80" s="110"/>
      <c r="L80" s="110"/>
      <c r="M80" s="110"/>
      <c r="N80" s="24"/>
    </row>
    <row r="81" spans="2:16" ht="21" customHeight="1" x14ac:dyDescent="0.4">
      <c r="B81" s="110" t="s">
        <v>98</v>
      </c>
      <c r="C81" s="110"/>
      <c r="D81" s="110"/>
      <c r="E81" s="110"/>
      <c r="F81" s="110"/>
      <c r="G81" s="24"/>
      <c r="I81" s="110" t="s">
        <v>98</v>
      </c>
      <c r="J81" s="110"/>
      <c r="K81" s="110"/>
      <c r="L81" s="110"/>
      <c r="M81" s="110"/>
      <c r="N81" s="24"/>
    </row>
    <row r="82" spans="2:16" ht="21" customHeight="1" x14ac:dyDescent="0.4">
      <c r="B82" s="110" t="s">
        <v>139</v>
      </c>
      <c r="C82" s="110"/>
      <c r="D82" s="110"/>
      <c r="E82" s="110"/>
      <c r="F82" s="110"/>
      <c r="G82" s="24"/>
      <c r="I82" s="110" t="s">
        <v>139</v>
      </c>
      <c r="J82" s="110"/>
      <c r="K82" s="110"/>
      <c r="L82" s="110"/>
      <c r="M82" s="110"/>
      <c r="N82" s="24"/>
    </row>
    <row r="83" spans="2:16" ht="18" customHeight="1" x14ac:dyDescent="0.4">
      <c r="B83" s="114" t="s">
        <v>100</v>
      </c>
      <c r="C83" s="115"/>
      <c r="D83" s="115"/>
      <c r="E83" s="115"/>
      <c r="F83" s="116"/>
      <c r="G83" s="32"/>
      <c r="I83" s="114" t="s">
        <v>100</v>
      </c>
      <c r="J83" s="115"/>
      <c r="K83" s="115"/>
      <c r="L83" s="115"/>
      <c r="M83" s="116"/>
      <c r="N83" s="32"/>
    </row>
    <row r="84" spans="2:16" ht="18" customHeight="1" x14ac:dyDescent="0.4">
      <c r="B84" s="111" t="s">
        <v>101</v>
      </c>
      <c r="C84" s="112"/>
      <c r="D84" s="112"/>
      <c r="E84" s="112"/>
      <c r="F84" s="113"/>
      <c r="G84" s="32"/>
      <c r="I84" s="111" t="s">
        <v>101</v>
      </c>
      <c r="J84" s="112"/>
      <c r="K84" s="112"/>
      <c r="L84" s="112"/>
      <c r="M84" s="113"/>
      <c r="N84" s="32"/>
      <c r="O84" s="21"/>
    </row>
    <row r="85" spans="2:16" ht="18" customHeight="1" x14ac:dyDescent="0.4">
      <c r="B85" s="97" t="s">
        <v>191</v>
      </c>
      <c r="C85" s="98"/>
      <c r="D85" s="98"/>
      <c r="E85" s="98"/>
      <c r="F85" s="41">
        <v>1666.15</v>
      </c>
      <c r="I85" s="97" t="s">
        <v>191</v>
      </c>
      <c r="J85" s="98"/>
      <c r="K85" s="98"/>
      <c r="L85" s="98"/>
      <c r="M85" s="41">
        <v>1666.15</v>
      </c>
      <c r="P85" s="21">
        <f>M85+M86</f>
        <v>2200</v>
      </c>
    </row>
    <row r="86" spans="2:16" ht="18" customHeight="1" x14ac:dyDescent="0.4">
      <c r="B86" s="106" t="s">
        <v>103</v>
      </c>
      <c r="C86" s="107"/>
      <c r="D86" s="107"/>
      <c r="E86" s="107"/>
      <c r="F86" s="41">
        <f>2200-F85</f>
        <v>533.84999999999991</v>
      </c>
      <c r="I86" s="106" t="s">
        <v>103</v>
      </c>
      <c r="J86" s="107"/>
      <c r="K86" s="107"/>
      <c r="L86" s="107"/>
      <c r="M86" s="41">
        <f>2200-M85</f>
        <v>533.84999999999991</v>
      </c>
    </row>
    <row r="87" spans="2:16" x14ac:dyDescent="0.4">
      <c r="B87" s="106" t="s">
        <v>106</v>
      </c>
      <c r="C87" s="107"/>
      <c r="D87" s="107"/>
      <c r="E87" s="107"/>
      <c r="F87" s="41"/>
      <c r="I87" s="106" t="s">
        <v>106</v>
      </c>
      <c r="J87" s="107"/>
      <c r="K87" s="107"/>
      <c r="L87" s="107"/>
      <c r="M87" s="41"/>
    </row>
    <row r="88" spans="2:16" ht="18" customHeight="1" x14ac:dyDescent="0.4">
      <c r="B88" s="99" t="s">
        <v>107</v>
      </c>
      <c r="C88" s="100"/>
      <c r="D88" s="100"/>
      <c r="E88" s="100"/>
      <c r="F88" s="29"/>
      <c r="I88" s="99" t="s">
        <v>107</v>
      </c>
      <c r="J88" s="100"/>
      <c r="K88" s="100"/>
      <c r="L88" s="100"/>
      <c r="M88" s="29"/>
    </row>
    <row r="89" spans="2:16" ht="18" customHeight="1" x14ac:dyDescent="0.4">
      <c r="B89" s="106" t="s">
        <v>110</v>
      </c>
      <c r="C89" s="107"/>
      <c r="D89" s="107"/>
      <c r="E89" s="107"/>
      <c r="F89" s="41"/>
      <c r="I89" s="106" t="s">
        <v>110</v>
      </c>
      <c r="J89" s="107"/>
      <c r="K89" s="107"/>
      <c r="L89" s="107"/>
      <c r="M89" s="41"/>
    </row>
    <row r="90" spans="2:16" ht="18" customHeight="1" x14ac:dyDescent="0.4">
      <c r="B90" s="117" t="s">
        <v>112</v>
      </c>
      <c r="C90" s="118"/>
      <c r="D90" s="118"/>
      <c r="E90" s="118"/>
      <c r="F90" s="30">
        <f>SUM(F85:F87)-SUM(F89)</f>
        <v>2200</v>
      </c>
      <c r="I90" s="117" t="s">
        <v>112</v>
      </c>
      <c r="J90" s="118"/>
      <c r="K90" s="118"/>
      <c r="L90" s="118"/>
      <c r="M90" s="30">
        <f>SUM(M85:M87)-SUM(M89)</f>
        <v>2200</v>
      </c>
    </row>
    <row r="91" spans="2:16" ht="48.95" customHeight="1" x14ac:dyDescent="0.4">
      <c r="B91" s="103" t="s">
        <v>196</v>
      </c>
      <c r="C91" s="103"/>
      <c r="D91" s="103"/>
      <c r="E91" s="103"/>
      <c r="F91" s="103"/>
      <c r="G91" s="38"/>
      <c r="I91" s="103" t="s">
        <v>196</v>
      </c>
      <c r="J91" s="103"/>
      <c r="K91" s="103"/>
      <c r="L91" s="103"/>
      <c r="M91" s="103"/>
      <c r="N91" s="39"/>
    </row>
    <row r="92" spans="2:16" ht="43.5" customHeight="1" x14ac:dyDescent="0.3">
      <c r="B92" s="109" t="s">
        <v>114</v>
      </c>
      <c r="C92" s="109"/>
      <c r="D92" s="109"/>
      <c r="E92" s="109"/>
      <c r="F92" s="109"/>
      <c r="G92" s="109"/>
      <c r="I92" s="109" t="s">
        <v>114</v>
      </c>
      <c r="J92" s="109"/>
      <c r="K92" s="109"/>
      <c r="L92" s="109"/>
      <c r="M92" s="109"/>
      <c r="N92" s="109"/>
    </row>
    <row r="93" spans="2:16" ht="48.95" customHeight="1" x14ac:dyDescent="0.4">
      <c r="B93" s="33"/>
      <c r="C93" s="35"/>
      <c r="D93" s="35"/>
      <c r="E93" s="35"/>
      <c r="F93" s="35"/>
      <c r="G93" s="35"/>
      <c r="I93" s="33"/>
      <c r="J93" s="35"/>
      <c r="K93" s="35"/>
      <c r="L93" s="35"/>
      <c r="M93" s="35"/>
      <c r="N93" s="35"/>
    </row>
    <row r="94" spans="2:16" ht="17.100000000000001" customHeight="1" x14ac:dyDescent="0.4">
      <c r="B94" s="101" t="s">
        <v>142</v>
      </c>
      <c r="C94" s="101"/>
      <c r="D94" s="101"/>
      <c r="E94" s="101"/>
      <c r="F94" s="101"/>
      <c r="G94" s="40"/>
      <c r="I94" s="101" t="s">
        <v>142</v>
      </c>
      <c r="J94" s="101"/>
      <c r="K94" s="101"/>
      <c r="L94" s="101"/>
      <c r="M94" s="101"/>
      <c r="N94" s="40"/>
    </row>
    <row r="95" spans="2:16" ht="17.100000000000001" customHeight="1" x14ac:dyDescent="0.4">
      <c r="B95" s="44"/>
      <c r="C95" s="44"/>
      <c r="D95" s="44"/>
      <c r="E95" s="44"/>
      <c r="F95" s="44"/>
      <c r="G95" s="40"/>
      <c r="I95" s="44"/>
      <c r="J95" s="44"/>
      <c r="K95" s="44"/>
      <c r="L95" s="44"/>
      <c r="M95" s="44"/>
      <c r="N95" s="40"/>
    </row>
    <row r="96" spans="2:16" ht="17.100000000000001" customHeight="1" x14ac:dyDescent="0.4">
      <c r="B96" s="44"/>
      <c r="C96" s="44"/>
      <c r="D96" s="44"/>
      <c r="E96" s="44"/>
      <c r="F96" s="44"/>
      <c r="G96" s="40"/>
      <c r="I96" s="44"/>
      <c r="J96" s="44"/>
      <c r="K96" s="44"/>
      <c r="L96" s="44"/>
      <c r="M96" s="44"/>
      <c r="N96" s="40"/>
    </row>
    <row r="97" spans="2:14" ht="17.100000000000001" customHeight="1" x14ac:dyDescent="0.4">
      <c r="B97" s="44"/>
      <c r="C97" s="44"/>
      <c r="D97" s="44"/>
      <c r="E97" s="44"/>
      <c r="F97" s="44"/>
      <c r="G97" s="40"/>
      <c r="I97" s="44"/>
      <c r="J97" s="44"/>
      <c r="K97" s="44"/>
      <c r="L97" s="44"/>
      <c r="M97" s="44"/>
      <c r="N97" s="40"/>
    </row>
    <row r="98" spans="2:14" ht="17.100000000000001" customHeight="1" x14ac:dyDescent="0.4">
      <c r="B98" s="44"/>
      <c r="C98" s="44"/>
      <c r="D98" s="44"/>
      <c r="E98" s="44"/>
      <c r="F98" s="44"/>
      <c r="G98" s="40"/>
      <c r="I98" s="44"/>
      <c r="J98" s="44"/>
      <c r="K98" s="44"/>
      <c r="L98" s="44"/>
      <c r="M98" s="44"/>
      <c r="N98" s="40"/>
    </row>
    <row r="99" spans="2:14" ht="17.100000000000001" customHeight="1" x14ac:dyDescent="0.4">
      <c r="B99" s="44"/>
      <c r="C99" s="44"/>
      <c r="D99" s="44"/>
      <c r="E99" s="44"/>
      <c r="F99" s="44"/>
      <c r="G99" s="40"/>
      <c r="I99" s="44"/>
      <c r="J99" s="44"/>
      <c r="K99" s="44"/>
      <c r="L99" s="44"/>
      <c r="M99" s="44"/>
      <c r="N99" s="40"/>
    </row>
    <row r="100" spans="2:14" ht="17.100000000000001" customHeight="1" x14ac:dyDescent="0.4">
      <c r="B100" s="44"/>
      <c r="C100" s="44"/>
      <c r="D100" s="44"/>
      <c r="E100" s="44"/>
      <c r="F100" s="44"/>
      <c r="G100" s="40"/>
      <c r="I100" s="44"/>
      <c r="J100" s="44"/>
      <c r="K100" s="44"/>
      <c r="L100" s="44"/>
      <c r="M100" s="44"/>
      <c r="N100" s="40"/>
    </row>
    <row r="101" spans="2:14" ht="17.100000000000001" customHeight="1" x14ac:dyDescent="0.4">
      <c r="B101" s="44"/>
      <c r="C101" s="44"/>
      <c r="D101" s="44"/>
      <c r="E101" s="44"/>
      <c r="F101" s="44"/>
      <c r="G101" s="40"/>
      <c r="I101" s="44"/>
      <c r="J101" s="44"/>
      <c r="K101" s="44"/>
      <c r="L101" s="44"/>
      <c r="M101" s="44"/>
      <c r="N101" s="40"/>
    </row>
    <row r="102" spans="2:14" ht="17.100000000000001" customHeight="1" x14ac:dyDescent="0.4">
      <c r="B102" s="44"/>
      <c r="C102" s="44"/>
      <c r="D102" s="44"/>
      <c r="E102" s="44"/>
      <c r="F102" s="44"/>
      <c r="G102" s="40"/>
      <c r="I102" s="44"/>
      <c r="J102" s="44"/>
      <c r="K102" s="44"/>
      <c r="L102" s="44"/>
      <c r="M102" s="44"/>
      <c r="N102" s="40"/>
    </row>
    <row r="103" spans="2:14" ht="17.100000000000001" customHeight="1" x14ac:dyDescent="0.4">
      <c r="B103" s="44"/>
      <c r="C103" s="44"/>
      <c r="D103" s="44"/>
      <c r="E103" s="44"/>
      <c r="F103" s="44"/>
      <c r="G103" s="40"/>
      <c r="I103" s="44"/>
      <c r="J103" s="44"/>
      <c r="K103" s="44"/>
      <c r="L103" s="44"/>
      <c r="M103" s="44"/>
      <c r="N103" s="40"/>
    </row>
    <row r="104" spans="2:14" ht="43.5" customHeight="1" x14ac:dyDescent="0.4">
      <c r="B104" s="102" t="s">
        <v>96</v>
      </c>
      <c r="C104" s="102"/>
      <c r="D104" s="102"/>
      <c r="E104" s="102"/>
      <c r="F104" s="102"/>
      <c r="I104" s="102" t="s">
        <v>96</v>
      </c>
      <c r="J104" s="102"/>
      <c r="K104" s="102"/>
      <c r="L104" s="102"/>
      <c r="M104" s="102"/>
    </row>
    <row r="105" spans="2:14" ht="21" customHeight="1" x14ac:dyDescent="0.4">
      <c r="B105" s="110" t="s">
        <v>97</v>
      </c>
      <c r="C105" s="110"/>
      <c r="D105" s="110"/>
      <c r="E105" s="110"/>
      <c r="F105" s="110"/>
      <c r="G105" s="24"/>
      <c r="I105" s="110" t="s">
        <v>97</v>
      </c>
      <c r="J105" s="110"/>
      <c r="K105" s="110"/>
      <c r="L105" s="110"/>
      <c r="M105" s="110"/>
      <c r="N105" s="24"/>
    </row>
    <row r="106" spans="2:14" ht="18.75" customHeight="1" x14ac:dyDescent="0.4">
      <c r="B106" s="110" t="s">
        <v>98</v>
      </c>
      <c r="C106" s="110"/>
      <c r="D106" s="110"/>
      <c r="E106" s="110"/>
      <c r="F106" s="110"/>
      <c r="G106" s="24"/>
      <c r="I106" s="110" t="s">
        <v>98</v>
      </c>
      <c r="J106" s="110"/>
      <c r="K106" s="110"/>
      <c r="L106" s="110"/>
      <c r="M106" s="110"/>
      <c r="N106" s="24"/>
    </row>
    <row r="107" spans="2:14" ht="21" customHeight="1" x14ac:dyDescent="0.4">
      <c r="B107" s="110" t="s">
        <v>143</v>
      </c>
      <c r="C107" s="110"/>
      <c r="D107" s="110"/>
      <c r="E107" s="110"/>
      <c r="F107" s="110"/>
      <c r="G107" s="24"/>
      <c r="I107" s="110" t="s">
        <v>143</v>
      </c>
      <c r="J107" s="110"/>
      <c r="K107" s="110"/>
      <c r="L107" s="110"/>
      <c r="M107" s="110"/>
      <c r="N107" s="24"/>
    </row>
    <row r="108" spans="2:14" ht="18" customHeight="1" x14ac:dyDescent="0.4">
      <c r="B108" s="114" t="s">
        <v>100</v>
      </c>
      <c r="C108" s="115"/>
      <c r="D108" s="115"/>
      <c r="E108" s="115"/>
      <c r="F108" s="116"/>
      <c r="G108" s="32"/>
      <c r="I108" s="114" t="s">
        <v>100</v>
      </c>
      <c r="J108" s="115"/>
      <c r="K108" s="115"/>
      <c r="L108" s="115"/>
      <c r="M108" s="116"/>
      <c r="N108" s="32"/>
    </row>
    <row r="109" spans="2:14" ht="18" customHeight="1" x14ac:dyDescent="0.4">
      <c r="B109" s="111" t="s">
        <v>101</v>
      </c>
      <c r="C109" s="112"/>
      <c r="D109" s="112"/>
      <c r="E109" s="112"/>
      <c r="F109" s="113"/>
      <c r="G109" s="32"/>
      <c r="I109" s="111" t="s">
        <v>101</v>
      </c>
      <c r="J109" s="112"/>
      <c r="K109" s="112"/>
      <c r="L109" s="112"/>
      <c r="M109" s="113"/>
      <c r="N109" s="32"/>
    </row>
    <row r="110" spans="2:14" ht="18" customHeight="1" x14ac:dyDescent="0.4">
      <c r="B110" s="97" t="s">
        <v>191</v>
      </c>
      <c r="C110" s="98"/>
      <c r="D110" s="98"/>
      <c r="E110" s="98"/>
      <c r="F110" s="26">
        <v>1546.38</v>
      </c>
      <c r="I110" s="97" t="s">
        <v>191</v>
      </c>
      <c r="J110" s="98"/>
      <c r="K110" s="98"/>
      <c r="L110" s="98"/>
      <c r="M110" s="26">
        <v>1546.38</v>
      </c>
    </row>
    <row r="111" spans="2:14" ht="18" customHeight="1" x14ac:dyDescent="0.4">
      <c r="B111" s="97" t="s">
        <v>124</v>
      </c>
      <c r="C111" s="98"/>
      <c r="D111" s="98"/>
      <c r="E111" s="98"/>
      <c r="F111" s="26">
        <v>150</v>
      </c>
      <c r="I111" s="97" t="s">
        <v>124</v>
      </c>
      <c r="J111" s="98"/>
      <c r="K111" s="98"/>
      <c r="L111" s="98"/>
      <c r="M111" s="26">
        <v>150</v>
      </c>
    </row>
    <row r="112" spans="2:14" ht="18" customHeight="1" x14ac:dyDescent="0.4">
      <c r="B112" s="97" t="s">
        <v>145</v>
      </c>
      <c r="C112" s="98"/>
      <c r="D112" s="98"/>
      <c r="E112" s="98"/>
      <c r="F112" s="26">
        <v>56.47</v>
      </c>
      <c r="I112" s="97" t="s">
        <v>145</v>
      </c>
      <c r="J112" s="98"/>
      <c r="K112" s="98"/>
      <c r="L112" s="98"/>
      <c r="M112" s="26">
        <v>56.47</v>
      </c>
    </row>
    <row r="113" spans="2:14" ht="18" customHeight="1" x14ac:dyDescent="0.4">
      <c r="B113" s="97" t="s">
        <v>146</v>
      </c>
      <c r="C113" s="98"/>
      <c r="D113" s="98"/>
      <c r="E113" s="98"/>
      <c r="F113" s="26"/>
      <c r="I113" s="97" t="s">
        <v>146</v>
      </c>
      <c r="J113" s="98"/>
      <c r="K113" s="98"/>
      <c r="L113" s="98"/>
      <c r="M113" s="26"/>
    </row>
    <row r="114" spans="2:14" ht="18" customHeight="1" x14ac:dyDescent="0.4">
      <c r="B114" s="97" t="s">
        <v>197</v>
      </c>
      <c r="C114" s="98"/>
      <c r="D114" s="98"/>
      <c r="E114" s="98"/>
      <c r="F114" s="26"/>
      <c r="I114" s="97" t="s">
        <v>197</v>
      </c>
      <c r="J114" s="98"/>
      <c r="K114" s="98"/>
      <c r="L114" s="98"/>
      <c r="M114" s="26"/>
    </row>
    <row r="115" spans="2:14" ht="18" customHeight="1" x14ac:dyDescent="0.4">
      <c r="B115" s="99" t="s">
        <v>107</v>
      </c>
      <c r="C115" s="100"/>
      <c r="D115" s="100"/>
      <c r="E115" s="100"/>
      <c r="F115" s="29"/>
      <c r="I115" s="99" t="s">
        <v>107</v>
      </c>
      <c r="J115" s="100"/>
      <c r="K115" s="100"/>
      <c r="L115" s="100"/>
      <c r="M115" s="29"/>
    </row>
    <row r="116" spans="2:14" ht="18" customHeight="1" x14ac:dyDescent="0.4">
      <c r="B116" s="97" t="s">
        <v>179</v>
      </c>
      <c r="C116" s="98"/>
      <c r="D116" s="98"/>
      <c r="E116" s="98"/>
      <c r="F116" s="26"/>
      <c r="I116" s="97" t="s">
        <v>179</v>
      </c>
      <c r="J116" s="98"/>
      <c r="K116" s="98"/>
      <c r="L116" s="98"/>
      <c r="M116" s="26"/>
    </row>
    <row r="117" spans="2:14" ht="18" customHeight="1" x14ac:dyDescent="0.4">
      <c r="B117" s="97" t="s">
        <v>198</v>
      </c>
      <c r="C117" s="98"/>
      <c r="D117" s="98"/>
      <c r="E117" s="98"/>
      <c r="F117" s="26"/>
      <c r="I117" s="97" t="s">
        <v>198</v>
      </c>
      <c r="J117" s="98"/>
      <c r="K117" s="98"/>
      <c r="L117" s="98"/>
      <c r="M117" s="26"/>
    </row>
    <row r="118" spans="2:14" ht="18" customHeight="1" x14ac:dyDescent="0.4">
      <c r="B118" s="97" t="s">
        <v>199</v>
      </c>
      <c r="C118" s="98"/>
      <c r="D118" s="98"/>
      <c r="E118" s="98"/>
      <c r="F118" s="26">
        <v>300</v>
      </c>
      <c r="I118" s="97" t="s">
        <v>199</v>
      </c>
      <c r="J118" s="98"/>
      <c r="K118" s="98"/>
      <c r="L118" s="98"/>
      <c r="M118" s="26">
        <v>300</v>
      </c>
    </row>
    <row r="119" spans="2:14" ht="18" customHeight="1" x14ac:dyDescent="0.4">
      <c r="B119" s="97" t="s">
        <v>125</v>
      </c>
      <c r="C119" s="98"/>
      <c r="D119" s="98"/>
      <c r="E119" s="98"/>
      <c r="F119" s="26"/>
      <c r="I119" s="97" t="s">
        <v>125</v>
      </c>
      <c r="J119" s="98"/>
      <c r="K119" s="98"/>
      <c r="L119" s="98"/>
      <c r="M119" s="26"/>
    </row>
    <row r="120" spans="2:14" ht="18" customHeight="1" x14ac:dyDescent="0.4">
      <c r="B120" s="97" t="s">
        <v>183</v>
      </c>
      <c r="C120" s="98"/>
      <c r="D120" s="98"/>
      <c r="E120" s="98"/>
      <c r="F120" s="26"/>
      <c r="I120" s="97" t="s">
        <v>183</v>
      </c>
      <c r="J120" s="98"/>
      <c r="K120" s="98"/>
      <c r="L120" s="98"/>
      <c r="M120" s="26"/>
    </row>
    <row r="121" spans="2:14" ht="18" customHeight="1" x14ac:dyDescent="0.4">
      <c r="B121" s="104" t="s">
        <v>112</v>
      </c>
      <c r="C121" s="105"/>
      <c r="D121" s="105"/>
      <c r="E121" s="105"/>
      <c r="F121" s="30">
        <f>SUM(F110:F114)-SUM(F116:F120)</f>
        <v>1452.8500000000001</v>
      </c>
      <c r="I121" s="104" t="s">
        <v>112</v>
      </c>
      <c r="J121" s="105"/>
      <c r="K121" s="105"/>
      <c r="L121" s="105"/>
      <c r="M121" s="30">
        <f>SUM(M110:M114)-SUM(M116:M120)</f>
        <v>1452.8500000000001</v>
      </c>
    </row>
    <row r="122" spans="2:14" ht="39" customHeight="1" x14ac:dyDescent="0.4">
      <c r="B122" s="103" t="s">
        <v>200</v>
      </c>
      <c r="C122" s="103"/>
      <c r="D122" s="103"/>
      <c r="E122" s="103"/>
      <c r="F122" s="103"/>
      <c r="G122" s="38"/>
      <c r="I122" s="103" t="s">
        <v>200</v>
      </c>
      <c r="J122" s="103"/>
      <c r="K122" s="103"/>
      <c r="L122" s="103"/>
      <c r="M122" s="103"/>
      <c r="N122" s="39"/>
    </row>
    <row r="123" spans="2:14" ht="19.5" customHeight="1" x14ac:dyDescent="0.3">
      <c r="B123" s="109" t="s">
        <v>114</v>
      </c>
      <c r="C123" s="109"/>
      <c r="D123" s="109"/>
      <c r="E123" s="109"/>
      <c r="F123" s="109"/>
      <c r="G123" s="109"/>
      <c r="I123" s="109" t="s">
        <v>114</v>
      </c>
      <c r="J123" s="109"/>
      <c r="K123" s="109"/>
      <c r="L123" s="109"/>
      <c r="M123" s="109"/>
      <c r="N123" s="109"/>
    </row>
    <row r="124" spans="2:14" ht="18" customHeight="1" x14ac:dyDescent="0.4">
      <c r="B124" s="33"/>
      <c r="C124" s="35"/>
      <c r="D124" s="35"/>
      <c r="E124" s="35"/>
      <c r="F124" s="35"/>
      <c r="G124" s="35"/>
      <c r="I124" s="33"/>
      <c r="J124" s="35"/>
      <c r="K124" s="35"/>
      <c r="L124" s="35"/>
      <c r="M124" s="35"/>
      <c r="N124" s="35"/>
    </row>
    <row r="125" spans="2:14" ht="17.100000000000001" customHeight="1" x14ac:dyDescent="0.4">
      <c r="B125" s="40"/>
      <c r="C125" s="108" t="s">
        <v>150</v>
      </c>
      <c r="D125" s="108"/>
      <c r="E125" s="108"/>
      <c r="F125" s="108"/>
      <c r="G125" s="40"/>
      <c r="I125" s="40"/>
      <c r="J125" s="108" t="s">
        <v>150</v>
      </c>
      <c r="K125" s="108"/>
      <c r="L125" s="108"/>
      <c r="M125" s="108"/>
      <c r="N125" s="40"/>
    </row>
    <row r="126" spans="2:14" ht="17.100000000000001" customHeight="1" x14ac:dyDescent="0.4">
      <c r="B126" s="40"/>
      <c r="C126" s="37"/>
      <c r="D126" s="37"/>
      <c r="E126" s="37"/>
      <c r="F126" s="37"/>
      <c r="G126" s="40"/>
      <c r="I126" s="40"/>
      <c r="J126" s="37"/>
      <c r="K126" s="37"/>
      <c r="L126" s="37"/>
      <c r="M126" s="37"/>
      <c r="N126" s="40"/>
    </row>
    <row r="127" spans="2:14" ht="17.100000000000001" customHeight="1" x14ac:dyDescent="0.4">
      <c r="B127" s="40"/>
      <c r="C127" s="37"/>
      <c r="D127" s="37"/>
      <c r="E127" s="37"/>
      <c r="F127" s="37"/>
      <c r="G127" s="40"/>
      <c r="I127" s="40"/>
      <c r="J127" s="37"/>
      <c r="K127" s="37"/>
      <c r="L127" s="37"/>
      <c r="M127" s="37"/>
      <c r="N127" s="40"/>
    </row>
    <row r="128" spans="2:14" ht="17.100000000000001" customHeight="1" x14ac:dyDescent="0.4">
      <c r="B128" s="40"/>
      <c r="C128" s="37"/>
      <c r="D128" s="37"/>
      <c r="E128" s="37"/>
      <c r="F128" s="37"/>
      <c r="G128" s="40"/>
      <c r="I128" s="40"/>
      <c r="J128" s="37"/>
      <c r="K128" s="37"/>
      <c r="L128" s="37"/>
      <c r="M128" s="37"/>
      <c r="N128" s="40"/>
    </row>
    <row r="129" spans="2:14" ht="17.100000000000001" customHeight="1" x14ac:dyDescent="0.4">
      <c r="B129" s="40"/>
      <c r="C129" s="37"/>
      <c r="D129" s="37"/>
      <c r="E129" s="37"/>
      <c r="F129" s="37"/>
      <c r="G129" s="40"/>
      <c r="I129" s="40"/>
      <c r="J129" s="37"/>
      <c r="K129" s="37"/>
      <c r="L129" s="37"/>
      <c r="M129" s="37"/>
      <c r="N129" s="40"/>
    </row>
    <row r="130" spans="2:14" ht="17.100000000000001" customHeight="1" x14ac:dyDescent="0.4">
      <c r="B130" s="40"/>
      <c r="C130" s="37"/>
      <c r="D130" s="37"/>
      <c r="E130" s="37"/>
      <c r="F130" s="37"/>
      <c r="G130" s="40"/>
      <c r="I130" s="40"/>
      <c r="J130" s="37"/>
      <c r="K130" s="37"/>
      <c r="L130" s="37"/>
      <c r="M130" s="37"/>
      <c r="N130" s="40"/>
    </row>
    <row r="131" spans="2:14" ht="17.100000000000001" customHeight="1" x14ac:dyDescent="0.4">
      <c r="B131" s="40"/>
      <c r="C131" s="37"/>
      <c r="D131" s="37"/>
      <c r="E131" s="37"/>
      <c r="F131" s="37"/>
      <c r="G131" s="40"/>
      <c r="I131" s="40"/>
      <c r="J131" s="37"/>
      <c r="K131" s="37"/>
      <c r="L131" s="37"/>
      <c r="M131" s="37"/>
      <c r="N131" s="40"/>
    </row>
    <row r="132" spans="2:14" ht="17.100000000000001" customHeight="1" x14ac:dyDescent="0.4">
      <c r="B132" s="40"/>
      <c r="C132" s="37"/>
      <c r="D132" s="37"/>
      <c r="E132" s="37"/>
      <c r="F132" s="37"/>
      <c r="G132" s="40"/>
      <c r="I132" s="40"/>
      <c r="J132" s="37"/>
      <c r="K132" s="37"/>
      <c r="L132" s="37"/>
      <c r="M132" s="37"/>
      <c r="N132" s="40"/>
    </row>
    <row r="133" spans="2:14" ht="17.100000000000001" customHeight="1" x14ac:dyDescent="0.4">
      <c r="B133" s="40"/>
      <c r="C133" s="37"/>
      <c r="D133" s="37"/>
      <c r="E133" s="37"/>
      <c r="F133" s="37"/>
      <c r="G133" s="40"/>
      <c r="I133" s="40"/>
      <c r="J133" s="37"/>
      <c r="K133" s="37"/>
      <c r="L133" s="37"/>
      <c r="M133" s="37"/>
      <c r="N133" s="40"/>
    </row>
    <row r="134" spans="2:14" ht="47.25" customHeight="1" x14ac:dyDescent="0.4">
      <c r="B134" s="102" t="s">
        <v>96</v>
      </c>
      <c r="C134" s="102"/>
      <c r="D134" s="102"/>
      <c r="E134" s="102"/>
      <c r="F134" s="102"/>
      <c r="I134" s="102" t="s">
        <v>96</v>
      </c>
      <c r="J134" s="102"/>
      <c r="K134" s="102"/>
      <c r="L134" s="102"/>
      <c r="M134" s="102"/>
    </row>
    <row r="135" spans="2:14" ht="21" customHeight="1" x14ac:dyDescent="0.4">
      <c r="B135" s="110" t="s">
        <v>97</v>
      </c>
      <c r="C135" s="110"/>
      <c r="D135" s="110"/>
      <c r="E135" s="110"/>
      <c r="F135" s="110"/>
      <c r="G135" s="24"/>
      <c r="I135" s="110" t="s">
        <v>97</v>
      </c>
      <c r="J135" s="110"/>
      <c r="K135" s="110"/>
      <c r="L135" s="110"/>
      <c r="M135" s="110"/>
      <c r="N135" s="24"/>
    </row>
    <row r="136" spans="2:14" ht="21" customHeight="1" x14ac:dyDescent="0.4">
      <c r="B136" s="110" t="s">
        <v>98</v>
      </c>
      <c r="C136" s="110"/>
      <c r="D136" s="110"/>
      <c r="E136" s="110"/>
      <c r="F136" s="110"/>
      <c r="G136" s="24"/>
      <c r="I136" s="110" t="s">
        <v>98</v>
      </c>
      <c r="J136" s="110"/>
      <c r="K136" s="110"/>
      <c r="L136" s="110"/>
      <c r="M136" s="110"/>
      <c r="N136" s="24"/>
    </row>
    <row r="137" spans="2:14" ht="21" customHeight="1" x14ac:dyDescent="0.4">
      <c r="B137" s="110" t="s">
        <v>151</v>
      </c>
      <c r="C137" s="110"/>
      <c r="D137" s="110"/>
      <c r="E137" s="110"/>
      <c r="F137" s="110"/>
      <c r="G137" s="24"/>
      <c r="I137" s="110" t="s">
        <v>151</v>
      </c>
      <c r="J137" s="110"/>
      <c r="K137" s="110"/>
      <c r="L137" s="110"/>
      <c r="M137" s="110"/>
      <c r="N137" s="24"/>
    </row>
    <row r="138" spans="2:14" ht="18" customHeight="1" x14ac:dyDescent="0.4">
      <c r="B138" s="114" t="s">
        <v>100</v>
      </c>
      <c r="C138" s="115"/>
      <c r="D138" s="115"/>
      <c r="E138" s="115"/>
      <c r="F138" s="116"/>
      <c r="G138" s="32"/>
      <c r="I138" s="114" t="s">
        <v>100</v>
      </c>
      <c r="J138" s="115"/>
      <c r="K138" s="115"/>
      <c r="L138" s="115"/>
      <c r="M138" s="116"/>
      <c r="N138" s="32"/>
    </row>
    <row r="139" spans="2:14" ht="18" customHeight="1" x14ac:dyDescent="0.4">
      <c r="B139" s="111" t="s">
        <v>101</v>
      </c>
      <c r="C139" s="112"/>
      <c r="D139" s="112"/>
      <c r="E139" s="112"/>
      <c r="F139" s="113"/>
      <c r="G139" s="32"/>
      <c r="I139" s="111" t="s">
        <v>101</v>
      </c>
      <c r="J139" s="112"/>
      <c r="K139" s="112"/>
      <c r="L139" s="112"/>
      <c r="M139" s="113"/>
      <c r="N139" s="32"/>
    </row>
    <row r="140" spans="2:14" ht="18" customHeight="1" x14ac:dyDescent="0.4">
      <c r="B140" s="97" t="s">
        <v>191</v>
      </c>
      <c r="C140" s="98"/>
      <c r="D140" s="98"/>
      <c r="E140" s="98"/>
      <c r="F140" s="26">
        <v>1546.38</v>
      </c>
      <c r="I140" s="97" t="s">
        <v>191</v>
      </c>
      <c r="J140" s="98"/>
      <c r="K140" s="98"/>
      <c r="L140" s="98"/>
      <c r="M140" s="26">
        <v>1546.38</v>
      </c>
    </row>
    <row r="141" spans="2:14" ht="18" customHeight="1" x14ac:dyDescent="0.4">
      <c r="B141" s="97" t="s">
        <v>124</v>
      </c>
      <c r="C141" s="98"/>
      <c r="D141" s="98"/>
      <c r="E141" s="98"/>
      <c r="F141" s="26">
        <v>150</v>
      </c>
      <c r="I141" s="97" t="s">
        <v>124</v>
      </c>
      <c r="J141" s="98"/>
      <c r="K141" s="98"/>
      <c r="L141" s="98"/>
      <c r="M141" s="26">
        <v>150</v>
      </c>
    </row>
    <row r="142" spans="2:14" x14ac:dyDescent="0.4">
      <c r="B142" s="97" t="s">
        <v>106</v>
      </c>
      <c r="C142" s="98"/>
      <c r="D142" s="98"/>
      <c r="E142" s="98"/>
      <c r="F142" s="26"/>
      <c r="I142" s="97" t="s">
        <v>106</v>
      </c>
      <c r="J142" s="98"/>
      <c r="K142" s="98"/>
      <c r="L142" s="98"/>
      <c r="M142" s="26"/>
    </row>
    <row r="143" spans="2:14" ht="18" customHeight="1" x14ac:dyDescent="0.4">
      <c r="B143" s="99" t="s">
        <v>107</v>
      </c>
      <c r="C143" s="100"/>
      <c r="D143" s="100"/>
      <c r="E143" s="100"/>
      <c r="F143" s="29"/>
      <c r="I143" s="99" t="s">
        <v>107</v>
      </c>
      <c r="J143" s="100"/>
      <c r="K143" s="100"/>
      <c r="L143" s="100"/>
      <c r="M143" s="29"/>
    </row>
    <row r="144" spans="2:14" ht="18" customHeight="1" x14ac:dyDescent="0.4">
      <c r="B144" s="97" t="s">
        <v>147</v>
      </c>
      <c r="C144" s="98"/>
      <c r="D144" s="98"/>
      <c r="E144" s="98"/>
      <c r="F144" s="26"/>
      <c r="I144" s="97" t="s">
        <v>147</v>
      </c>
      <c r="J144" s="98"/>
      <c r="K144" s="98"/>
      <c r="L144" s="98"/>
      <c r="M144" s="26"/>
    </row>
    <row r="145" spans="2:14" ht="18" customHeight="1" x14ac:dyDescent="0.4">
      <c r="B145" s="97" t="s">
        <v>118</v>
      </c>
      <c r="C145" s="98"/>
      <c r="D145" s="98"/>
      <c r="E145" s="98"/>
      <c r="F145" s="26"/>
      <c r="I145" s="97" t="s">
        <v>118</v>
      </c>
      <c r="J145" s="98"/>
      <c r="K145" s="98"/>
      <c r="L145" s="98"/>
      <c r="M145" s="26"/>
    </row>
    <row r="146" spans="2:14" ht="18" customHeight="1" x14ac:dyDescent="0.4">
      <c r="B146" s="97" t="s">
        <v>110</v>
      </c>
      <c r="C146" s="98"/>
      <c r="D146" s="98"/>
      <c r="E146" s="98"/>
      <c r="F146" s="26"/>
      <c r="I146" s="97" t="s">
        <v>110</v>
      </c>
      <c r="J146" s="98"/>
      <c r="K146" s="98"/>
      <c r="L146" s="98"/>
      <c r="M146" s="26"/>
    </row>
    <row r="147" spans="2:14" ht="18" customHeight="1" x14ac:dyDescent="0.4">
      <c r="B147" s="97" t="s">
        <v>132</v>
      </c>
      <c r="C147" s="98"/>
      <c r="D147" s="98"/>
      <c r="E147" s="98"/>
      <c r="F147" s="26">
        <v>13.97</v>
      </c>
      <c r="I147" s="97" t="s">
        <v>132</v>
      </c>
      <c r="J147" s="98"/>
      <c r="K147" s="98"/>
      <c r="L147" s="98"/>
      <c r="M147" s="26">
        <v>13.97</v>
      </c>
    </row>
    <row r="148" spans="2:14" ht="18" customHeight="1" x14ac:dyDescent="0.4">
      <c r="B148" s="104" t="s">
        <v>112</v>
      </c>
      <c r="C148" s="105"/>
      <c r="D148" s="105"/>
      <c r="E148" s="105"/>
      <c r="F148" s="30">
        <f>SUM(F140:F142)-SUM(F144:F147)</f>
        <v>1682.41</v>
      </c>
      <c r="I148" s="104" t="s">
        <v>112</v>
      </c>
      <c r="J148" s="105"/>
      <c r="K148" s="105"/>
      <c r="L148" s="105"/>
      <c r="M148" s="30">
        <f>SUM(M140:M142)-SUM(M144:M147)</f>
        <v>1682.41</v>
      </c>
    </row>
    <row r="149" spans="2:14" ht="45" customHeight="1" x14ac:dyDescent="0.4">
      <c r="B149" s="103" t="s">
        <v>201</v>
      </c>
      <c r="C149" s="103"/>
      <c r="D149" s="103"/>
      <c r="E149" s="103"/>
      <c r="F149" s="103"/>
      <c r="G149" s="38"/>
      <c r="I149" s="103" t="s">
        <v>201</v>
      </c>
      <c r="J149" s="103"/>
      <c r="K149" s="103"/>
      <c r="L149" s="103"/>
      <c r="M149" s="103"/>
      <c r="N149" s="39"/>
    </row>
    <row r="150" spans="2:14" ht="22.5" customHeight="1" x14ac:dyDescent="0.3">
      <c r="B150" s="109" t="s">
        <v>114</v>
      </c>
      <c r="C150" s="109"/>
      <c r="D150" s="109"/>
      <c r="E150" s="109"/>
      <c r="F150" s="109"/>
      <c r="G150" s="109"/>
      <c r="I150" s="109" t="s">
        <v>114</v>
      </c>
      <c r="J150" s="109"/>
      <c r="K150" s="109"/>
      <c r="L150" s="109"/>
      <c r="M150" s="109"/>
      <c r="N150" s="109"/>
    </row>
    <row r="151" spans="2:14" ht="27" customHeight="1" x14ac:dyDescent="0.4">
      <c r="B151" s="33"/>
      <c r="C151" s="35"/>
      <c r="D151" s="35"/>
      <c r="E151" s="35"/>
      <c r="F151" s="35"/>
      <c r="G151" s="35"/>
      <c r="I151" s="33"/>
      <c r="J151" s="35"/>
      <c r="K151" s="35"/>
      <c r="L151" s="35"/>
      <c r="M151" s="35"/>
      <c r="N151" s="35"/>
    </row>
    <row r="152" spans="2:14" ht="17.100000000000001" customHeight="1" x14ac:dyDescent="0.4">
      <c r="B152" s="40"/>
      <c r="C152" s="108" t="s">
        <v>153</v>
      </c>
      <c r="D152" s="108"/>
      <c r="E152" s="108"/>
      <c r="F152" s="108"/>
      <c r="G152" s="40"/>
      <c r="I152" s="40"/>
      <c r="J152" s="108" t="s">
        <v>153</v>
      </c>
      <c r="K152" s="108"/>
      <c r="L152" s="108"/>
      <c r="M152" s="108"/>
      <c r="N152" s="40"/>
    </row>
  </sheetData>
  <mergeCells count="209">
    <mergeCell ref="B1:F1"/>
    <mergeCell ref="I1:M1"/>
    <mergeCell ref="B2:F2"/>
    <mergeCell ref="I2:M2"/>
    <mergeCell ref="B3:F3"/>
    <mergeCell ref="I3:M3"/>
    <mergeCell ref="B4:F4"/>
    <mergeCell ref="I4:M4"/>
    <mergeCell ref="B5:F5"/>
    <mergeCell ref="I5:M5"/>
    <mergeCell ref="B6:F6"/>
    <mergeCell ref="I6:M6"/>
    <mergeCell ref="B7:E7"/>
    <mergeCell ref="I7:L7"/>
    <mergeCell ref="B8:E8"/>
    <mergeCell ref="I8:L8"/>
    <mergeCell ref="B9:E9"/>
    <mergeCell ref="I9:L9"/>
    <mergeCell ref="B10:E10"/>
    <mergeCell ref="I10:L10"/>
    <mergeCell ref="B11:E11"/>
    <mergeCell ref="I11:L11"/>
    <mergeCell ref="B12:E12"/>
    <mergeCell ref="I12:L12"/>
    <mergeCell ref="B13:E13"/>
    <mergeCell ref="I13:L13"/>
    <mergeCell ref="B14:E14"/>
    <mergeCell ref="I14:L14"/>
    <mergeCell ref="B15:E15"/>
    <mergeCell ref="I15:L15"/>
    <mergeCell ref="B16:F16"/>
    <mergeCell ref="I16:M16"/>
    <mergeCell ref="B17:G17"/>
    <mergeCell ref="I17:N17"/>
    <mergeCell ref="C19:F19"/>
    <mergeCell ref="J19:M19"/>
    <mergeCell ref="B27:F27"/>
    <mergeCell ref="I27:M27"/>
    <mergeCell ref="B28:F28"/>
    <mergeCell ref="I28:M28"/>
    <mergeCell ref="B29:F29"/>
    <mergeCell ref="I29:M29"/>
    <mergeCell ref="B30:F30"/>
    <mergeCell ref="I30:M30"/>
    <mergeCell ref="B31:F31"/>
    <mergeCell ref="I31:M31"/>
    <mergeCell ref="B32:F32"/>
    <mergeCell ref="I32:M32"/>
    <mergeCell ref="B33:E33"/>
    <mergeCell ref="I33:L33"/>
    <mergeCell ref="B34:E34"/>
    <mergeCell ref="I34:L34"/>
    <mergeCell ref="B35:E35"/>
    <mergeCell ref="I35:L35"/>
    <mergeCell ref="B36:E36"/>
    <mergeCell ref="I36:L36"/>
    <mergeCell ref="B37:E37"/>
    <mergeCell ref="I37:L37"/>
    <mergeCell ref="B38:E38"/>
    <mergeCell ref="I38:L38"/>
    <mergeCell ref="B39:E39"/>
    <mergeCell ref="I39:L39"/>
    <mergeCell ref="B40:F40"/>
    <mergeCell ref="I40:M40"/>
    <mergeCell ref="B41:G41"/>
    <mergeCell ref="I41:N41"/>
    <mergeCell ref="C43:F43"/>
    <mergeCell ref="J43:M43"/>
    <mergeCell ref="B54:F54"/>
    <mergeCell ref="I54:M54"/>
    <mergeCell ref="B55:F55"/>
    <mergeCell ref="I55:M55"/>
    <mergeCell ref="B56:F56"/>
    <mergeCell ref="I56:M56"/>
    <mergeCell ref="B57:F57"/>
    <mergeCell ref="I57:M57"/>
    <mergeCell ref="B58:F58"/>
    <mergeCell ref="I58:M58"/>
    <mergeCell ref="B59:F59"/>
    <mergeCell ref="I59:M59"/>
    <mergeCell ref="B60:E60"/>
    <mergeCell ref="I60:L60"/>
    <mergeCell ref="B61:E61"/>
    <mergeCell ref="I61:L61"/>
    <mergeCell ref="B62:E62"/>
    <mergeCell ref="I62:L62"/>
    <mergeCell ref="B63:E63"/>
    <mergeCell ref="I63:L63"/>
    <mergeCell ref="B64:E64"/>
    <mergeCell ref="I64:L64"/>
    <mergeCell ref="B65:E65"/>
    <mergeCell ref="I65:L65"/>
    <mergeCell ref="B66:E66"/>
    <mergeCell ref="I66:L66"/>
    <mergeCell ref="B67:E67"/>
    <mergeCell ref="I67:L67"/>
    <mergeCell ref="B68:F68"/>
    <mergeCell ref="I68:M68"/>
    <mergeCell ref="B69:G69"/>
    <mergeCell ref="I69:N69"/>
    <mergeCell ref="J71:M71"/>
    <mergeCell ref="B79:F79"/>
    <mergeCell ref="I79:M79"/>
    <mergeCell ref="B80:F80"/>
    <mergeCell ref="I80:M80"/>
    <mergeCell ref="B81:F81"/>
    <mergeCell ref="I81:M81"/>
    <mergeCell ref="B82:F82"/>
    <mergeCell ref="I82:M82"/>
    <mergeCell ref="B83:F83"/>
    <mergeCell ref="I83:M83"/>
    <mergeCell ref="B84:F84"/>
    <mergeCell ref="I84:M84"/>
    <mergeCell ref="B85:E85"/>
    <mergeCell ref="I85:L85"/>
    <mergeCell ref="B86:E86"/>
    <mergeCell ref="I86:L86"/>
    <mergeCell ref="B87:E87"/>
    <mergeCell ref="I87:L87"/>
    <mergeCell ref="B88:E88"/>
    <mergeCell ref="I88:L88"/>
    <mergeCell ref="B89:E89"/>
    <mergeCell ref="I89:L89"/>
    <mergeCell ref="B90:E90"/>
    <mergeCell ref="I90:L90"/>
    <mergeCell ref="B91:F91"/>
    <mergeCell ref="I91:M91"/>
    <mergeCell ref="B92:G92"/>
    <mergeCell ref="I92:N92"/>
    <mergeCell ref="B94:F94"/>
    <mergeCell ref="I94:M94"/>
    <mergeCell ref="B104:F104"/>
    <mergeCell ref="I104:M104"/>
    <mergeCell ref="B105:F105"/>
    <mergeCell ref="I105:M105"/>
    <mergeCell ref="B106:F106"/>
    <mergeCell ref="I106:M106"/>
    <mergeCell ref="B107:F107"/>
    <mergeCell ref="I107:M107"/>
    <mergeCell ref="B108:F108"/>
    <mergeCell ref="I108:M108"/>
    <mergeCell ref="B109:F109"/>
    <mergeCell ref="I109:M109"/>
    <mergeCell ref="B110:E110"/>
    <mergeCell ref="I110:L110"/>
    <mergeCell ref="B111:E111"/>
    <mergeCell ref="I111:L111"/>
    <mergeCell ref="B112:E112"/>
    <mergeCell ref="I112:L112"/>
    <mergeCell ref="B113:E113"/>
    <mergeCell ref="I113:L113"/>
    <mergeCell ref="B114:E114"/>
    <mergeCell ref="I114:L114"/>
    <mergeCell ref="B115:E115"/>
    <mergeCell ref="I115:L115"/>
    <mergeCell ref="B116:E116"/>
    <mergeCell ref="I116:L116"/>
    <mergeCell ref="B117:E117"/>
    <mergeCell ref="I117:L117"/>
    <mergeCell ref="B118:E118"/>
    <mergeCell ref="I118:L118"/>
    <mergeCell ref="B119:E119"/>
    <mergeCell ref="I119:L119"/>
    <mergeCell ref="B120:E120"/>
    <mergeCell ref="I120:L120"/>
    <mergeCell ref="B121:E121"/>
    <mergeCell ref="I121:L121"/>
    <mergeCell ref="B122:F122"/>
    <mergeCell ref="I122:M122"/>
    <mergeCell ref="B123:G123"/>
    <mergeCell ref="I123:N123"/>
    <mergeCell ref="C125:F125"/>
    <mergeCell ref="J125:M125"/>
    <mergeCell ref="B134:F134"/>
    <mergeCell ref="I134:M134"/>
    <mergeCell ref="B135:F135"/>
    <mergeCell ref="I135:M135"/>
    <mergeCell ref="B136:F136"/>
    <mergeCell ref="I136:M136"/>
    <mergeCell ref="B137:F137"/>
    <mergeCell ref="I137:M137"/>
    <mergeCell ref="B138:F138"/>
    <mergeCell ref="I138:M138"/>
    <mergeCell ref="B139:F139"/>
    <mergeCell ref="I139:M139"/>
    <mergeCell ref="B140:E140"/>
    <mergeCell ref="I140:L140"/>
    <mergeCell ref="B141:E141"/>
    <mergeCell ref="I141:L141"/>
    <mergeCell ref="B142:E142"/>
    <mergeCell ref="I142:L142"/>
    <mergeCell ref="B143:E143"/>
    <mergeCell ref="I143:L143"/>
    <mergeCell ref="B144:E144"/>
    <mergeCell ref="I144:L144"/>
    <mergeCell ref="B145:E145"/>
    <mergeCell ref="I145:L145"/>
    <mergeCell ref="B146:E146"/>
    <mergeCell ref="I146:L146"/>
    <mergeCell ref="B147:E147"/>
    <mergeCell ref="I147:L147"/>
    <mergeCell ref="B148:E148"/>
    <mergeCell ref="I148:L148"/>
    <mergeCell ref="B149:F149"/>
    <mergeCell ref="I149:M149"/>
    <mergeCell ref="B150:G150"/>
    <mergeCell ref="I150:N150"/>
    <mergeCell ref="C152:F152"/>
    <mergeCell ref="J152:M152"/>
  </mergeCells>
  <dataValidations count="1">
    <dataValidation allowBlank="1" showInputMessage="1" showErrorMessage="1" prompt="O título da planilha está nesta célula. Insira o nome do cartão de crédito para atualizar o título" sqref="B1 B104 B79 I104 I1 B27 B54 B134 I27 I79 I134 I54" xr:uid="{00000000-0002-0000-0B00-000000000000}"/>
  </dataValidations>
  <printOptions horizontalCentered="1"/>
  <pageMargins left="0" right="0" top="0" bottom="0" header="0" footer="0"/>
  <pageSetup paperSize="9" fitToHeight="0" orientation="landscape" horizontalDpi="4294967293"/>
  <headerFooter scaleWithDoc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4"/>
  </sheetPr>
  <dimension ref="B1:P156"/>
  <sheetViews>
    <sheetView topLeftCell="A28" workbookViewId="0">
      <selection activeCell="I139" sqref="I139:M148"/>
    </sheetView>
  </sheetViews>
  <sheetFormatPr defaultColWidth="8.88671875" defaultRowHeight="18.75" x14ac:dyDescent="0.4"/>
  <cols>
    <col min="1" max="1" width="2.21875" customWidth="1"/>
    <col min="2" max="2" width="17.6640625" customWidth="1"/>
    <col min="5" max="5" width="8.109375" customWidth="1"/>
    <col min="6" max="6" width="14.33203125" customWidth="1"/>
    <col min="7" max="7" width="1.6640625" customWidth="1"/>
    <col min="8" max="8" width="2.21875" customWidth="1"/>
    <col min="9" max="9" width="17.6640625" customWidth="1"/>
    <col min="13" max="13" width="14" customWidth="1"/>
    <col min="14" max="14" width="1.6640625" customWidth="1"/>
    <col min="15" max="16" width="10.77734375" bestFit="1" customWidth="1"/>
  </cols>
  <sheetData>
    <row r="1" spans="2:14" ht="43.5" customHeight="1" x14ac:dyDescent="0.4">
      <c r="B1" s="154" t="s">
        <v>96</v>
      </c>
      <c r="C1" s="154"/>
      <c r="D1" s="154"/>
      <c r="E1" s="154"/>
      <c r="F1" s="154"/>
      <c r="G1" s="48"/>
      <c r="H1" s="48"/>
      <c r="I1" s="154" t="s">
        <v>96</v>
      </c>
      <c r="J1" s="154"/>
      <c r="K1" s="154"/>
      <c r="L1" s="154"/>
      <c r="M1" s="154"/>
      <c r="N1" s="48"/>
    </row>
    <row r="2" spans="2:14" ht="21" customHeight="1" x14ac:dyDescent="0.4">
      <c r="B2" s="155" t="s">
        <v>97</v>
      </c>
      <c r="C2" s="155"/>
      <c r="D2" s="155"/>
      <c r="E2" s="155"/>
      <c r="F2" s="155"/>
      <c r="G2" s="49"/>
      <c r="H2" s="48"/>
      <c r="I2" s="155" t="s">
        <v>97</v>
      </c>
      <c r="J2" s="155"/>
      <c r="K2" s="155"/>
      <c r="L2" s="155"/>
      <c r="M2" s="155"/>
      <c r="N2" s="49"/>
    </row>
    <row r="3" spans="2:14" ht="21" customHeight="1" x14ac:dyDescent="0.4">
      <c r="B3" s="155" t="s">
        <v>98</v>
      </c>
      <c r="C3" s="155"/>
      <c r="D3" s="155"/>
      <c r="E3" s="155"/>
      <c r="F3" s="155"/>
      <c r="G3" s="49"/>
      <c r="H3" s="48"/>
      <c r="I3" s="155" t="s">
        <v>98</v>
      </c>
      <c r="J3" s="155"/>
      <c r="K3" s="155"/>
      <c r="L3" s="155"/>
      <c r="M3" s="155"/>
      <c r="N3" s="49"/>
    </row>
    <row r="4" spans="2:14" ht="21" customHeight="1" x14ac:dyDescent="0.4">
      <c r="B4" s="155" t="s">
        <v>202</v>
      </c>
      <c r="C4" s="155"/>
      <c r="D4" s="155"/>
      <c r="E4" s="155"/>
      <c r="F4" s="155"/>
      <c r="G4" s="49"/>
      <c r="H4" s="48"/>
      <c r="I4" s="160" t="s">
        <v>202</v>
      </c>
      <c r="J4" s="160"/>
      <c r="K4" s="160"/>
      <c r="L4" s="160"/>
      <c r="M4" s="160"/>
      <c r="N4" s="49"/>
    </row>
    <row r="5" spans="2:14" ht="18" customHeight="1" x14ac:dyDescent="0.4">
      <c r="B5" s="148" t="s">
        <v>100</v>
      </c>
      <c r="C5" s="149"/>
      <c r="D5" s="149"/>
      <c r="E5" s="149"/>
      <c r="F5" s="150"/>
      <c r="G5" s="48"/>
      <c r="H5" s="48"/>
      <c r="I5" s="148" t="s">
        <v>100</v>
      </c>
      <c r="J5" s="149"/>
      <c r="K5" s="149"/>
      <c r="L5" s="149"/>
      <c r="M5" s="150"/>
      <c r="N5" s="48"/>
    </row>
    <row r="6" spans="2:14" ht="18" customHeight="1" x14ac:dyDescent="0.4">
      <c r="B6" s="151" t="s">
        <v>101</v>
      </c>
      <c r="C6" s="152"/>
      <c r="D6" s="152"/>
      <c r="E6" s="152"/>
      <c r="F6" s="153"/>
      <c r="G6" s="48"/>
      <c r="H6" s="48"/>
      <c r="I6" s="151" t="s">
        <v>101</v>
      </c>
      <c r="J6" s="152"/>
      <c r="K6" s="152"/>
      <c r="L6" s="152"/>
      <c r="M6" s="153"/>
      <c r="N6" s="48"/>
    </row>
    <row r="7" spans="2:14" x14ac:dyDescent="0.4">
      <c r="B7" s="140" t="s">
        <v>203</v>
      </c>
      <c r="C7" s="141"/>
      <c r="D7" s="141"/>
      <c r="E7" s="141"/>
      <c r="F7" s="50">
        <v>2900</v>
      </c>
      <c r="G7" s="48"/>
      <c r="H7" s="48"/>
      <c r="I7" s="140" t="s">
        <v>203</v>
      </c>
      <c r="J7" s="141"/>
      <c r="K7" s="141"/>
      <c r="L7" s="141"/>
      <c r="M7" s="50">
        <v>2900</v>
      </c>
      <c r="N7" s="48"/>
    </row>
    <row r="8" spans="2:14" x14ac:dyDescent="0.4">
      <c r="B8" s="140" t="s">
        <v>204</v>
      </c>
      <c r="C8" s="141"/>
      <c r="D8" s="141"/>
      <c r="E8" s="141"/>
      <c r="F8" s="50">
        <v>0</v>
      </c>
      <c r="G8" s="48"/>
      <c r="H8" s="48"/>
      <c r="I8" s="140" t="s">
        <v>204</v>
      </c>
      <c r="J8" s="141"/>
      <c r="K8" s="141"/>
      <c r="L8" s="141"/>
      <c r="M8" s="50">
        <v>0</v>
      </c>
      <c r="N8" s="48"/>
    </row>
    <row r="9" spans="2:14" x14ac:dyDescent="0.4">
      <c r="B9" s="140" t="s">
        <v>105</v>
      </c>
      <c r="C9" s="141"/>
      <c r="D9" s="141"/>
      <c r="E9" s="141"/>
      <c r="F9" s="50">
        <v>0</v>
      </c>
      <c r="G9" s="48"/>
      <c r="H9" s="48"/>
      <c r="I9" s="140" t="s">
        <v>105</v>
      </c>
      <c r="J9" s="141"/>
      <c r="K9" s="141"/>
      <c r="L9" s="141"/>
      <c r="M9" s="50">
        <v>0</v>
      </c>
      <c r="N9" s="48"/>
    </row>
    <row r="10" spans="2:14" x14ac:dyDescent="0.4">
      <c r="B10" s="140" t="s">
        <v>106</v>
      </c>
      <c r="C10" s="141"/>
      <c r="D10" s="141"/>
      <c r="E10" s="141"/>
      <c r="F10" s="50">
        <v>7.41</v>
      </c>
      <c r="G10" s="48"/>
      <c r="H10" s="48"/>
      <c r="I10" s="140" t="s">
        <v>106</v>
      </c>
      <c r="J10" s="141"/>
      <c r="K10" s="141"/>
      <c r="L10" s="141"/>
      <c r="M10" s="50">
        <v>7.41</v>
      </c>
      <c r="N10" s="48"/>
    </row>
    <row r="11" spans="2:14" ht="18" customHeight="1" x14ac:dyDescent="0.4">
      <c r="B11" s="146" t="s">
        <v>107</v>
      </c>
      <c r="C11" s="147"/>
      <c r="D11" s="147"/>
      <c r="E11" s="147"/>
      <c r="F11" s="51"/>
      <c r="G11" s="48"/>
      <c r="H11" s="48"/>
      <c r="I11" s="146" t="s">
        <v>107</v>
      </c>
      <c r="J11" s="147"/>
      <c r="K11" s="147"/>
      <c r="L11" s="147"/>
      <c r="M11" s="51"/>
      <c r="N11" s="48"/>
    </row>
    <row r="12" spans="2:14" ht="18" customHeight="1" x14ac:dyDescent="0.4">
      <c r="B12" s="140" t="s">
        <v>109</v>
      </c>
      <c r="C12" s="141"/>
      <c r="D12" s="141"/>
      <c r="E12" s="141"/>
      <c r="F12" s="50">
        <v>152.72999999999999</v>
      </c>
      <c r="G12" s="48"/>
      <c r="H12" s="48"/>
      <c r="I12" s="140" t="s">
        <v>109</v>
      </c>
      <c r="J12" s="141"/>
      <c r="K12" s="141"/>
      <c r="L12" s="141"/>
      <c r="M12" s="50">
        <v>152.72999999999999</v>
      </c>
      <c r="N12" s="48"/>
    </row>
    <row r="13" spans="2:14" ht="18" customHeight="1" x14ac:dyDescent="0.4">
      <c r="B13" s="140" t="s">
        <v>205</v>
      </c>
      <c r="C13" s="141"/>
      <c r="D13" s="141"/>
      <c r="E13" s="141"/>
      <c r="F13" s="50">
        <v>65.14</v>
      </c>
      <c r="G13" s="48"/>
      <c r="H13" s="48"/>
      <c r="I13" s="140" t="s">
        <v>205</v>
      </c>
      <c r="J13" s="141"/>
      <c r="K13" s="141"/>
      <c r="L13" s="141"/>
      <c r="M13" s="50">
        <v>65.14</v>
      </c>
      <c r="N13" s="48"/>
    </row>
    <row r="14" spans="2:14" ht="18" customHeight="1" x14ac:dyDescent="0.4">
      <c r="B14" s="140" t="s">
        <v>206</v>
      </c>
      <c r="C14" s="141"/>
      <c r="D14" s="141"/>
      <c r="E14" s="141"/>
      <c r="F14" s="50">
        <v>580</v>
      </c>
      <c r="G14" s="48"/>
      <c r="H14" s="48"/>
      <c r="I14" s="140" t="s">
        <v>206</v>
      </c>
      <c r="J14" s="141"/>
      <c r="K14" s="141"/>
      <c r="L14" s="141"/>
      <c r="M14" s="50">
        <v>580</v>
      </c>
      <c r="N14" s="48"/>
    </row>
    <row r="15" spans="2:14" ht="18" customHeight="1" x14ac:dyDescent="0.4">
      <c r="B15" s="142" t="s">
        <v>112</v>
      </c>
      <c r="C15" s="143"/>
      <c r="D15" s="143"/>
      <c r="E15" s="143"/>
      <c r="F15" s="52">
        <f>SUM(F7:F10)-SUM(F12:F14)</f>
        <v>2109.54</v>
      </c>
      <c r="G15" s="48"/>
      <c r="H15" s="48"/>
      <c r="I15" s="142" t="s">
        <v>112</v>
      </c>
      <c r="J15" s="143"/>
      <c r="K15" s="143"/>
      <c r="L15" s="143"/>
      <c r="M15" s="52">
        <f>SUM(M7:M10)-SUM(M12:M14)</f>
        <v>2109.54</v>
      </c>
      <c r="N15" s="48"/>
    </row>
    <row r="16" spans="2:14" ht="48.95" customHeight="1" x14ac:dyDescent="0.4">
      <c r="B16" s="144" t="s">
        <v>207</v>
      </c>
      <c r="C16" s="144"/>
      <c r="D16" s="144"/>
      <c r="E16" s="144"/>
      <c r="F16" s="144"/>
      <c r="G16" s="53"/>
      <c r="H16" s="54"/>
      <c r="I16" s="145" t="s">
        <v>207</v>
      </c>
      <c r="J16" s="145"/>
      <c r="K16" s="145"/>
      <c r="L16" s="145"/>
      <c r="M16" s="145"/>
      <c r="N16" s="55"/>
    </row>
    <row r="17" spans="2:14" ht="22.5" customHeight="1" x14ac:dyDescent="0.3">
      <c r="B17" s="137" t="s">
        <v>114</v>
      </c>
      <c r="C17" s="137"/>
      <c r="D17" s="137"/>
      <c r="E17" s="137"/>
      <c r="F17" s="137"/>
      <c r="G17" s="137"/>
      <c r="H17" s="48"/>
      <c r="I17" s="137" t="s">
        <v>114</v>
      </c>
      <c r="J17" s="137"/>
      <c r="K17" s="137"/>
      <c r="L17" s="137"/>
      <c r="M17" s="137"/>
      <c r="N17" s="137"/>
    </row>
    <row r="18" spans="2:14" ht="32.25" customHeight="1" x14ac:dyDescent="0.4">
      <c r="B18" s="55"/>
      <c r="C18" s="57"/>
      <c r="D18" s="57"/>
      <c r="E18" s="57"/>
      <c r="F18" s="57"/>
      <c r="G18" s="57"/>
      <c r="H18" s="48"/>
      <c r="I18" s="55"/>
      <c r="J18" s="57"/>
      <c r="K18" s="57"/>
      <c r="L18" s="57"/>
      <c r="M18" s="57"/>
      <c r="N18" s="57"/>
    </row>
    <row r="19" spans="2:14" ht="16.899999999999999" customHeight="1" x14ac:dyDescent="0.4">
      <c r="B19" s="138" t="s">
        <v>208</v>
      </c>
      <c r="C19" s="138"/>
      <c r="D19" s="138"/>
      <c r="E19" s="138"/>
      <c r="F19" s="138"/>
      <c r="G19" s="58"/>
      <c r="H19" s="48"/>
      <c r="I19" s="138" t="s">
        <v>208</v>
      </c>
      <c r="J19" s="138"/>
      <c r="K19" s="138"/>
      <c r="L19" s="138"/>
      <c r="M19" s="138"/>
      <c r="N19" s="58"/>
    </row>
    <row r="20" spans="2:14" ht="16.899999999999999" customHeight="1" x14ac:dyDescent="0.4">
      <c r="B20" s="36"/>
      <c r="C20" s="37"/>
      <c r="D20" s="37"/>
      <c r="E20" s="37"/>
      <c r="F20" s="37"/>
      <c r="G20" s="36"/>
      <c r="I20" s="36"/>
      <c r="J20" s="37"/>
      <c r="K20" s="37"/>
      <c r="L20" s="37"/>
      <c r="M20" s="37"/>
      <c r="N20" s="36"/>
    </row>
    <row r="21" spans="2:14" ht="16.899999999999999" customHeight="1" x14ac:dyDescent="0.4">
      <c r="B21" s="36"/>
      <c r="C21" s="37"/>
      <c r="D21" s="37"/>
      <c r="E21" s="37"/>
      <c r="F21" s="37"/>
      <c r="G21" s="36"/>
      <c r="I21" s="36"/>
      <c r="J21" s="37"/>
      <c r="K21" s="37"/>
      <c r="L21" s="37"/>
      <c r="M21" s="37"/>
      <c r="N21" s="36"/>
    </row>
    <row r="22" spans="2:14" ht="16.899999999999999" customHeight="1" x14ac:dyDescent="0.4">
      <c r="B22" s="36"/>
      <c r="C22" s="37"/>
      <c r="D22" s="37"/>
      <c r="E22" s="37"/>
      <c r="F22" s="37"/>
      <c r="G22" s="36"/>
      <c r="I22" s="36"/>
      <c r="J22" s="37"/>
      <c r="K22" s="37"/>
      <c r="L22" s="37"/>
      <c r="M22" s="37"/>
      <c r="N22" s="36"/>
    </row>
    <row r="23" spans="2:14" ht="16.899999999999999" customHeight="1" x14ac:dyDescent="0.4">
      <c r="B23" s="36"/>
      <c r="C23" s="37"/>
      <c r="D23" s="37"/>
      <c r="E23" s="37"/>
      <c r="F23" s="37"/>
      <c r="G23" s="36"/>
      <c r="I23" s="36"/>
      <c r="J23" s="37"/>
      <c r="K23" s="37"/>
      <c r="L23" s="37"/>
      <c r="M23" s="37"/>
      <c r="N23" s="36"/>
    </row>
    <row r="24" spans="2:14" ht="16.899999999999999" customHeight="1" x14ac:dyDescent="0.4">
      <c r="B24" s="36"/>
      <c r="C24" s="37"/>
      <c r="D24" s="37"/>
      <c r="E24" s="37"/>
      <c r="F24" s="37"/>
      <c r="G24" s="36"/>
      <c r="I24" s="36"/>
      <c r="J24" s="37"/>
      <c r="K24" s="37"/>
      <c r="L24" s="37"/>
      <c r="M24" s="37"/>
      <c r="N24" s="36"/>
    </row>
    <row r="25" spans="2:14" ht="16.899999999999999" customHeight="1" x14ac:dyDescent="0.4">
      <c r="B25" s="36"/>
      <c r="C25" s="37"/>
      <c r="D25" s="37"/>
      <c r="E25" s="37"/>
      <c r="F25" s="37"/>
      <c r="G25" s="36"/>
      <c r="I25" s="36"/>
      <c r="J25" s="37"/>
      <c r="K25" s="37"/>
      <c r="L25" s="37"/>
      <c r="M25" s="37"/>
      <c r="N25" s="36"/>
    </row>
    <row r="26" spans="2:14" ht="16.899999999999999" customHeight="1" x14ac:dyDescent="0.4">
      <c r="B26" s="36"/>
      <c r="C26" s="37"/>
      <c r="D26" s="37"/>
      <c r="E26" s="37"/>
      <c r="F26" s="37"/>
      <c r="G26" s="36"/>
      <c r="I26" s="36"/>
      <c r="J26" s="37"/>
      <c r="K26" s="37"/>
      <c r="L26" s="37"/>
      <c r="M26" s="37"/>
      <c r="N26" s="36"/>
    </row>
    <row r="27" spans="2:14" ht="47.25" customHeight="1" x14ac:dyDescent="0.4">
      <c r="B27" s="154" t="s">
        <v>96</v>
      </c>
      <c r="C27" s="154"/>
      <c r="D27" s="154"/>
      <c r="E27" s="154"/>
      <c r="F27" s="154"/>
      <c r="G27" s="48"/>
      <c r="H27" s="48"/>
      <c r="I27" s="154" t="s">
        <v>96</v>
      </c>
      <c r="J27" s="154"/>
      <c r="K27" s="154"/>
      <c r="L27" s="154"/>
      <c r="M27" s="154"/>
    </row>
    <row r="28" spans="2:14" ht="21" customHeight="1" x14ac:dyDescent="0.4">
      <c r="B28" s="155" t="s">
        <v>97</v>
      </c>
      <c r="C28" s="155"/>
      <c r="D28" s="155"/>
      <c r="E28" s="155"/>
      <c r="F28" s="155"/>
      <c r="G28" s="49"/>
      <c r="H28" s="48"/>
      <c r="I28" s="155" t="s">
        <v>97</v>
      </c>
      <c r="J28" s="155"/>
      <c r="K28" s="155"/>
      <c r="L28" s="155"/>
      <c r="M28" s="155"/>
      <c r="N28" s="24"/>
    </row>
    <row r="29" spans="2:14" ht="21" customHeight="1" x14ac:dyDescent="0.4">
      <c r="B29" s="155" t="s">
        <v>98</v>
      </c>
      <c r="C29" s="155"/>
      <c r="D29" s="155"/>
      <c r="E29" s="155"/>
      <c r="F29" s="155"/>
      <c r="G29" s="49"/>
      <c r="H29" s="48"/>
      <c r="I29" s="155" t="s">
        <v>98</v>
      </c>
      <c r="J29" s="155"/>
      <c r="K29" s="155"/>
      <c r="L29" s="155"/>
      <c r="M29" s="155"/>
      <c r="N29" s="24"/>
    </row>
    <row r="30" spans="2:14" ht="21" customHeight="1" x14ac:dyDescent="0.4">
      <c r="B30" s="155" t="s">
        <v>209</v>
      </c>
      <c r="C30" s="155"/>
      <c r="D30" s="155"/>
      <c r="E30" s="155"/>
      <c r="F30" s="155"/>
      <c r="G30" s="49"/>
      <c r="H30" s="48"/>
      <c r="I30" s="160" t="s">
        <v>209</v>
      </c>
      <c r="J30" s="160"/>
      <c r="K30" s="160"/>
      <c r="L30" s="160"/>
      <c r="M30" s="160"/>
      <c r="N30" s="24"/>
    </row>
    <row r="31" spans="2:14" ht="18" customHeight="1" x14ac:dyDescent="0.4">
      <c r="B31" s="148" t="s">
        <v>100</v>
      </c>
      <c r="C31" s="149"/>
      <c r="D31" s="149"/>
      <c r="E31" s="149"/>
      <c r="F31" s="150"/>
      <c r="G31" s="54"/>
      <c r="H31" s="48"/>
      <c r="I31" s="148" t="s">
        <v>100</v>
      </c>
      <c r="J31" s="149"/>
      <c r="K31" s="149"/>
      <c r="L31" s="149"/>
      <c r="M31" s="150"/>
      <c r="N31" s="32"/>
    </row>
    <row r="32" spans="2:14" ht="18" customHeight="1" x14ac:dyDescent="0.4">
      <c r="B32" s="151" t="s">
        <v>101</v>
      </c>
      <c r="C32" s="152"/>
      <c r="D32" s="152"/>
      <c r="E32" s="152"/>
      <c r="F32" s="153"/>
      <c r="G32" s="54"/>
      <c r="H32" s="48"/>
      <c r="I32" s="151" t="s">
        <v>101</v>
      </c>
      <c r="J32" s="152"/>
      <c r="K32" s="152"/>
      <c r="L32" s="152"/>
      <c r="M32" s="153"/>
      <c r="N32" s="32"/>
    </row>
    <row r="33" spans="2:14" ht="18" customHeight="1" x14ac:dyDescent="0.4">
      <c r="B33" s="140" t="s">
        <v>210</v>
      </c>
      <c r="C33" s="141"/>
      <c r="D33" s="141"/>
      <c r="E33" s="141"/>
      <c r="F33" s="59">
        <v>1621</v>
      </c>
      <c r="G33" s="48"/>
      <c r="H33" s="48"/>
      <c r="I33" s="140" t="s">
        <v>210</v>
      </c>
      <c r="J33" s="141"/>
      <c r="K33" s="141"/>
      <c r="L33" s="141"/>
      <c r="M33" s="60">
        <v>1621</v>
      </c>
    </row>
    <row r="34" spans="2:14" ht="18" customHeight="1" x14ac:dyDescent="0.4">
      <c r="B34" s="140" t="s">
        <v>211</v>
      </c>
      <c r="C34" s="141"/>
      <c r="D34" s="141"/>
      <c r="E34" s="141"/>
      <c r="F34" s="50">
        <v>25.12</v>
      </c>
      <c r="G34" s="48"/>
      <c r="H34" s="48"/>
      <c r="I34" s="140" t="s">
        <v>211</v>
      </c>
      <c r="J34" s="141"/>
      <c r="K34" s="141"/>
      <c r="L34" s="141"/>
      <c r="M34" s="50">
        <v>25.12</v>
      </c>
    </row>
    <row r="35" spans="2:14" ht="18" customHeight="1" x14ac:dyDescent="0.4">
      <c r="B35" s="140" t="s">
        <v>212</v>
      </c>
      <c r="C35" s="141"/>
      <c r="D35" s="141"/>
      <c r="E35" s="141"/>
      <c r="F35" s="50">
        <v>0</v>
      </c>
      <c r="G35" s="48"/>
      <c r="H35" s="48"/>
      <c r="I35" s="140" t="s">
        <v>213</v>
      </c>
      <c r="J35" s="141"/>
      <c r="K35" s="141"/>
      <c r="L35" s="141"/>
      <c r="M35" s="50">
        <v>0</v>
      </c>
    </row>
    <row r="36" spans="2:14" ht="18" customHeight="1" x14ac:dyDescent="0.4">
      <c r="B36" s="140" t="s">
        <v>214</v>
      </c>
      <c r="C36" s="141"/>
      <c r="D36" s="141"/>
      <c r="E36" s="141"/>
      <c r="F36" s="50">
        <v>32.229999999999997</v>
      </c>
      <c r="G36" s="48"/>
      <c r="H36" s="48"/>
      <c r="I36" s="140" t="s">
        <v>214</v>
      </c>
      <c r="J36" s="141"/>
      <c r="K36" s="141"/>
      <c r="L36" s="141"/>
      <c r="M36" s="50">
        <v>32.229999999999997</v>
      </c>
    </row>
    <row r="37" spans="2:14" ht="18" customHeight="1" x14ac:dyDescent="0.4">
      <c r="B37" s="146" t="s">
        <v>107</v>
      </c>
      <c r="C37" s="147"/>
      <c r="D37" s="147"/>
      <c r="E37" s="147"/>
      <c r="F37" s="51"/>
      <c r="G37" s="48"/>
      <c r="H37" s="48"/>
      <c r="I37" s="146" t="s">
        <v>107</v>
      </c>
      <c r="J37" s="147"/>
      <c r="K37" s="147"/>
      <c r="L37" s="147"/>
      <c r="M37" s="51"/>
    </row>
    <row r="38" spans="2:14" ht="18" customHeight="1" x14ac:dyDescent="0.4">
      <c r="B38" s="140" t="s">
        <v>215</v>
      </c>
      <c r="C38" s="141"/>
      <c r="D38" s="141"/>
      <c r="E38" s="141"/>
      <c r="F38" s="50">
        <v>124.34</v>
      </c>
      <c r="G38" s="48"/>
      <c r="H38" s="48"/>
      <c r="I38" s="140" t="s">
        <v>215</v>
      </c>
      <c r="J38" s="141"/>
      <c r="K38" s="141"/>
      <c r="L38" s="141"/>
      <c r="M38" s="50">
        <v>124.34</v>
      </c>
    </row>
    <row r="39" spans="2:14" ht="18" customHeight="1" x14ac:dyDescent="0.4">
      <c r="B39" s="140" t="s">
        <v>216</v>
      </c>
      <c r="C39" s="141"/>
      <c r="D39" s="141"/>
      <c r="E39" s="141"/>
      <c r="F39" s="50">
        <v>470</v>
      </c>
      <c r="G39" s="48"/>
      <c r="H39" s="48"/>
      <c r="I39" s="140" t="s">
        <v>216</v>
      </c>
      <c r="J39" s="141"/>
      <c r="K39" s="141"/>
      <c r="L39" s="141"/>
      <c r="M39" s="50">
        <v>470</v>
      </c>
    </row>
    <row r="40" spans="2:14" ht="28.5" customHeight="1" x14ac:dyDescent="0.4">
      <c r="B40" s="140" t="s">
        <v>217</v>
      </c>
      <c r="C40" s="141"/>
      <c r="D40" s="141"/>
      <c r="E40" s="141"/>
      <c r="F40" s="50">
        <v>1.49</v>
      </c>
      <c r="G40" s="48"/>
      <c r="H40" s="48"/>
      <c r="I40" s="140" t="s">
        <v>217</v>
      </c>
      <c r="J40" s="141"/>
      <c r="K40" s="141"/>
      <c r="L40" s="141"/>
      <c r="M40" s="50">
        <v>1.49</v>
      </c>
      <c r="N40" s="39"/>
    </row>
    <row r="41" spans="2:14" ht="22.5" customHeight="1" x14ac:dyDescent="0.3">
      <c r="B41" s="140" t="s">
        <v>218</v>
      </c>
      <c r="C41" s="141"/>
      <c r="D41" s="141"/>
      <c r="E41" s="141"/>
      <c r="F41" s="50">
        <v>24.9</v>
      </c>
      <c r="G41" s="48"/>
      <c r="H41" s="48"/>
      <c r="I41" s="140" t="s">
        <v>218</v>
      </c>
      <c r="J41" s="141"/>
      <c r="K41" s="141"/>
      <c r="L41" s="141"/>
      <c r="M41" s="50">
        <v>24.9</v>
      </c>
      <c r="N41" s="34"/>
    </row>
    <row r="42" spans="2:14" ht="42.75" customHeight="1" x14ac:dyDescent="0.4">
      <c r="B42" s="142" t="s">
        <v>112</v>
      </c>
      <c r="C42" s="143"/>
      <c r="D42" s="143"/>
      <c r="E42" s="143"/>
      <c r="F42" s="52">
        <f>SUM(F33:F36)-SUM(F38:F41)</f>
        <v>1057.6199999999999</v>
      </c>
      <c r="G42" s="61"/>
      <c r="H42" s="48"/>
      <c r="I42" s="142" t="s">
        <v>112</v>
      </c>
      <c r="J42" s="143"/>
      <c r="K42" s="143"/>
      <c r="L42" s="143"/>
      <c r="M42" s="52">
        <f>SUM(M33:M36)-SUM(M38:M41)</f>
        <v>1057.6199999999999</v>
      </c>
      <c r="N42" s="35"/>
    </row>
    <row r="43" spans="2:14" ht="31.5" customHeight="1" x14ac:dyDescent="0.3">
      <c r="B43" s="144" t="s">
        <v>219</v>
      </c>
      <c r="C43" s="144"/>
      <c r="D43" s="144"/>
      <c r="E43" s="144"/>
      <c r="F43" s="144"/>
      <c r="G43" s="56"/>
      <c r="H43" s="48"/>
      <c r="I43" s="145" t="s">
        <v>219</v>
      </c>
      <c r="J43" s="145"/>
      <c r="K43" s="145"/>
      <c r="L43" s="145"/>
      <c r="M43" s="145"/>
      <c r="N43" s="40"/>
    </row>
    <row r="44" spans="2:14" ht="28.5" customHeight="1" x14ac:dyDescent="0.3">
      <c r="B44" s="137" t="s">
        <v>114</v>
      </c>
      <c r="C44" s="137"/>
      <c r="D44" s="137"/>
      <c r="E44" s="137"/>
      <c r="F44" s="137"/>
      <c r="G44" s="57"/>
      <c r="H44" s="48"/>
      <c r="I44" s="137" t="s">
        <v>114</v>
      </c>
      <c r="J44" s="137"/>
      <c r="K44" s="137"/>
      <c r="L44" s="137"/>
      <c r="M44" s="137"/>
      <c r="N44" s="40"/>
    </row>
    <row r="45" spans="2:14" ht="17.100000000000001" customHeight="1" x14ac:dyDescent="0.4">
      <c r="B45" s="161"/>
      <c r="C45" s="161"/>
      <c r="D45" s="161"/>
      <c r="E45" s="161"/>
      <c r="F45" s="161"/>
      <c r="G45" s="40"/>
      <c r="I45" s="162"/>
      <c r="J45" s="162"/>
      <c r="K45" s="162"/>
      <c r="L45" s="162"/>
      <c r="M45" s="162"/>
      <c r="N45" s="40"/>
    </row>
    <row r="46" spans="2:14" ht="17.100000000000001" customHeight="1" x14ac:dyDescent="0.4">
      <c r="B46" s="119" t="s">
        <v>220</v>
      </c>
      <c r="C46" s="119"/>
      <c r="D46" s="119"/>
      <c r="E46" s="119"/>
      <c r="F46" s="119"/>
      <c r="G46" s="40"/>
      <c r="I46" s="119" t="s">
        <v>220</v>
      </c>
      <c r="J46" s="119"/>
      <c r="K46" s="119"/>
      <c r="L46" s="119"/>
      <c r="M46" s="119"/>
      <c r="N46" s="40"/>
    </row>
    <row r="47" spans="2:14" ht="17.100000000000001" customHeight="1" x14ac:dyDescent="0.4">
      <c r="B47" s="40"/>
      <c r="C47" s="37"/>
      <c r="D47" s="37"/>
      <c r="E47" s="37"/>
      <c r="F47" s="37"/>
      <c r="G47" s="40"/>
      <c r="I47" s="40"/>
      <c r="J47" s="37"/>
      <c r="K47" s="37"/>
      <c r="L47" s="37"/>
      <c r="M47" s="37"/>
      <c r="N47" s="40"/>
    </row>
    <row r="48" spans="2:14" ht="17.100000000000001" customHeight="1" x14ac:dyDescent="0.4">
      <c r="B48" s="40"/>
      <c r="C48" s="37"/>
      <c r="D48" s="37"/>
      <c r="E48" s="37"/>
      <c r="F48" s="37"/>
      <c r="G48" s="40"/>
      <c r="I48" s="40"/>
      <c r="J48" s="37"/>
      <c r="K48" s="37"/>
      <c r="L48" s="37"/>
      <c r="M48" s="37"/>
      <c r="N48" s="40"/>
    </row>
    <row r="49" spans="2:14" ht="17.100000000000001" customHeight="1" x14ac:dyDescent="0.4">
      <c r="B49" s="40"/>
      <c r="C49" s="37"/>
      <c r="D49" s="37"/>
      <c r="E49" s="37"/>
      <c r="F49" s="37"/>
      <c r="G49" s="40"/>
      <c r="I49" s="40"/>
      <c r="J49" s="37"/>
      <c r="K49" s="37"/>
      <c r="L49" s="37"/>
      <c r="M49" s="37"/>
      <c r="N49" s="40"/>
    </row>
    <row r="50" spans="2:14" ht="17.100000000000001" customHeight="1" x14ac:dyDescent="0.4">
      <c r="B50" s="40"/>
      <c r="C50" s="37"/>
      <c r="D50" s="37"/>
      <c r="E50" s="37"/>
      <c r="F50" s="37"/>
      <c r="G50" s="40"/>
      <c r="I50" s="40"/>
      <c r="J50" s="37"/>
      <c r="K50" s="37"/>
      <c r="L50" s="37"/>
      <c r="M50" s="37"/>
      <c r="N50" s="40"/>
    </row>
    <row r="51" spans="2:14" ht="17.100000000000001" customHeight="1" x14ac:dyDescent="0.4">
      <c r="B51" s="40"/>
      <c r="C51" s="37"/>
      <c r="D51" s="37"/>
      <c r="E51" s="37"/>
      <c r="F51" s="37"/>
      <c r="G51" s="40"/>
      <c r="I51" s="40"/>
      <c r="J51" s="37"/>
      <c r="K51" s="37"/>
      <c r="L51" s="37"/>
      <c r="M51" s="37"/>
      <c r="N51" s="40"/>
    </row>
    <row r="52" spans="2:14" ht="17.100000000000001" customHeight="1" x14ac:dyDescent="0.4">
      <c r="B52" s="40"/>
      <c r="C52" s="37"/>
      <c r="D52" s="37"/>
      <c r="E52" s="37"/>
      <c r="F52" s="37"/>
      <c r="G52" s="40"/>
      <c r="I52" s="40"/>
      <c r="J52" s="37"/>
      <c r="K52" s="37"/>
      <c r="L52" s="37"/>
      <c r="M52" s="37"/>
      <c r="N52" s="40"/>
    </row>
    <row r="53" spans="2:14" ht="17.100000000000001" customHeight="1" x14ac:dyDescent="0.4">
      <c r="B53" s="40"/>
      <c r="C53" s="37"/>
      <c r="D53" s="37"/>
      <c r="E53" s="37"/>
      <c r="F53" s="37"/>
      <c r="G53" s="40"/>
      <c r="I53" s="40"/>
      <c r="J53" s="37"/>
      <c r="K53" s="37"/>
      <c r="L53" s="37"/>
      <c r="M53" s="37"/>
      <c r="N53" s="40"/>
    </row>
    <row r="54" spans="2:14" ht="47.25" customHeight="1" x14ac:dyDescent="0.4">
      <c r="B54" s="40"/>
      <c r="C54" s="37"/>
      <c r="D54" s="37"/>
      <c r="E54" s="37"/>
      <c r="F54" s="37"/>
      <c r="G54" s="40"/>
      <c r="I54" s="40"/>
      <c r="J54" s="37"/>
      <c r="K54" s="37"/>
      <c r="L54" s="37"/>
      <c r="M54" s="37"/>
    </row>
    <row r="55" spans="2:14" ht="21" hidden="1" customHeight="1" x14ac:dyDescent="0.4">
      <c r="B55" s="40"/>
      <c r="C55" s="37"/>
      <c r="D55" s="37"/>
      <c r="E55" s="37"/>
      <c r="F55" s="37"/>
      <c r="G55" s="40"/>
      <c r="I55" s="40"/>
      <c r="J55" s="37"/>
      <c r="K55" s="37"/>
      <c r="L55" s="37"/>
      <c r="M55" s="37"/>
      <c r="N55" s="24"/>
    </row>
    <row r="56" spans="2:14" ht="20.25" customHeight="1" x14ac:dyDescent="0.4">
      <c r="B56" s="40"/>
      <c r="C56" s="37"/>
      <c r="D56" s="37"/>
      <c r="E56" s="37"/>
      <c r="F56" s="37"/>
      <c r="I56" s="40"/>
      <c r="J56" s="37"/>
      <c r="K56" s="37"/>
      <c r="L56" s="37"/>
      <c r="M56" s="37"/>
      <c r="N56" s="24"/>
    </row>
    <row r="57" spans="2:14" ht="45.75" customHeight="1" x14ac:dyDescent="0.4">
      <c r="B57" s="154" t="s">
        <v>96</v>
      </c>
      <c r="C57" s="154"/>
      <c r="D57" s="154"/>
      <c r="E57" s="154"/>
      <c r="F57" s="154"/>
      <c r="G57" s="49"/>
      <c r="H57" s="48"/>
      <c r="I57" s="154" t="s">
        <v>96</v>
      </c>
      <c r="J57" s="154"/>
      <c r="K57" s="154"/>
      <c r="L57" s="154"/>
      <c r="M57" s="154"/>
      <c r="N57" s="24"/>
    </row>
    <row r="58" spans="2:14" ht="18" customHeight="1" x14ac:dyDescent="0.4">
      <c r="B58" s="155" t="s">
        <v>97</v>
      </c>
      <c r="C58" s="155"/>
      <c r="D58" s="155"/>
      <c r="E58" s="155"/>
      <c r="F58" s="155"/>
      <c r="G58" s="49"/>
      <c r="H58" s="48"/>
      <c r="I58" s="155" t="s">
        <v>97</v>
      </c>
      <c r="J58" s="155"/>
      <c r="K58" s="155"/>
      <c r="L58" s="155"/>
      <c r="M58" s="155"/>
    </row>
    <row r="59" spans="2:14" ht="18" customHeight="1" x14ac:dyDescent="0.4">
      <c r="B59" s="155" t="s">
        <v>98</v>
      </c>
      <c r="C59" s="155"/>
      <c r="D59" s="155"/>
      <c r="E59" s="155"/>
      <c r="F59" s="155"/>
      <c r="G59" s="49"/>
      <c r="H59" s="48"/>
      <c r="I59" s="155" t="s">
        <v>98</v>
      </c>
      <c r="J59" s="155"/>
      <c r="K59" s="155"/>
      <c r="L59" s="155"/>
      <c r="M59" s="155"/>
    </row>
    <row r="60" spans="2:14" ht="18" customHeight="1" x14ac:dyDescent="0.4">
      <c r="B60" s="155" t="s">
        <v>221</v>
      </c>
      <c r="C60" s="155"/>
      <c r="D60" s="155"/>
      <c r="E60" s="155"/>
      <c r="F60" s="155"/>
      <c r="G60" s="48"/>
      <c r="H60" s="48"/>
      <c r="I60" s="160" t="s">
        <v>221</v>
      </c>
      <c r="J60" s="160"/>
      <c r="K60" s="160"/>
      <c r="L60" s="160"/>
      <c r="M60" s="160"/>
    </row>
    <row r="61" spans="2:14" ht="18" customHeight="1" x14ac:dyDescent="0.4">
      <c r="B61" s="148" t="s">
        <v>100</v>
      </c>
      <c r="C61" s="149"/>
      <c r="D61" s="149"/>
      <c r="E61" s="149"/>
      <c r="F61" s="150"/>
      <c r="G61" s="48"/>
      <c r="H61" s="48"/>
      <c r="I61" s="148" t="s">
        <v>100</v>
      </c>
      <c r="J61" s="149"/>
      <c r="K61" s="149"/>
      <c r="L61" s="149"/>
      <c r="M61" s="150"/>
    </row>
    <row r="62" spans="2:14" x14ac:dyDescent="0.4">
      <c r="B62" s="151" t="s">
        <v>101</v>
      </c>
      <c r="C62" s="152"/>
      <c r="D62" s="152"/>
      <c r="E62" s="152"/>
      <c r="F62" s="153"/>
      <c r="G62" s="48"/>
      <c r="H62" s="48"/>
      <c r="I62" s="151" t="s">
        <v>101</v>
      </c>
      <c r="J62" s="152"/>
      <c r="K62" s="152"/>
      <c r="L62" s="152"/>
      <c r="M62" s="153"/>
    </row>
    <row r="63" spans="2:14" x14ac:dyDescent="0.4">
      <c r="B63" s="140" t="s">
        <v>210</v>
      </c>
      <c r="C63" s="141"/>
      <c r="D63" s="141"/>
      <c r="E63" s="141"/>
      <c r="F63" s="59">
        <v>2000</v>
      </c>
      <c r="G63" s="48"/>
      <c r="H63" s="48"/>
      <c r="I63" s="140" t="s">
        <v>210</v>
      </c>
      <c r="J63" s="141"/>
      <c r="K63" s="141"/>
      <c r="L63" s="141"/>
      <c r="M63" s="59">
        <v>2000</v>
      </c>
    </row>
    <row r="64" spans="2:14" ht="18" customHeight="1" x14ac:dyDescent="0.4">
      <c r="B64" s="158" t="s">
        <v>222</v>
      </c>
      <c r="C64" s="159"/>
      <c r="D64" s="159"/>
      <c r="E64" s="159"/>
      <c r="F64" s="50">
        <v>340.77</v>
      </c>
      <c r="G64" s="48"/>
      <c r="H64" s="48"/>
      <c r="I64" s="158" t="s">
        <v>222</v>
      </c>
      <c r="J64" s="159"/>
      <c r="K64" s="159"/>
      <c r="L64" s="159"/>
      <c r="M64" s="50">
        <v>340.77</v>
      </c>
    </row>
    <row r="65" spans="2:14" ht="18" customHeight="1" x14ac:dyDescent="0.4">
      <c r="B65" s="158" t="s">
        <v>106</v>
      </c>
      <c r="C65" s="159"/>
      <c r="D65" s="159"/>
      <c r="E65" s="159"/>
      <c r="F65" s="59">
        <v>17.920000000000002</v>
      </c>
      <c r="G65" s="48"/>
      <c r="H65" s="48"/>
      <c r="I65" s="158" t="s">
        <v>106</v>
      </c>
      <c r="J65" s="159"/>
      <c r="K65" s="159"/>
      <c r="L65" s="159"/>
      <c r="M65" s="59">
        <v>17.920000000000002</v>
      </c>
    </row>
    <row r="66" spans="2:14" ht="18" customHeight="1" x14ac:dyDescent="0.4">
      <c r="B66" s="158" t="s">
        <v>223</v>
      </c>
      <c r="C66" s="159"/>
      <c r="D66" s="159"/>
      <c r="E66" s="159"/>
      <c r="F66" s="59">
        <v>0</v>
      </c>
      <c r="G66" s="48"/>
      <c r="H66" s="48"/>
      <c r="I66" s="158" t="s">
        <v>223</v>
      </c>
      <c r="J66" s="159"/>
      <c r="K66" s="159"/>
      <c r="L66" s="159"/>
      <c r="M66" s="59">
        <v>0</v>
      </c>
    </row>
    <row r="67" spans="2:14" ht="18" customHeight="1" x14ac:dyDescent="0.4">
      <c r="B67" s="146" t="s">
        <v>107</v>
      </c>
      <c r="C67" s="147"/>
      <c r="D67" s="147"/>
      <c r="E67" s="147"/>
      <c r="F67" s="51"/>
      <c r="G67" s="48"/>
      <c r="H67" s="48"/>
      <c r="I67" s="146" t="s">
        <v>107</v>
      </c>
      <c r="J67" s="147"/>
      <c r="K67" s="147"/>
      <c r="L67" s="147"/>
      <c r="M67" s="51"/>
    </row>
    <row r="68" spans="2:14" ht="21.75" customHeight="1" x14ac:dyDescent="0.4">
      <c r="B68" s="140" t="s">
        <v>109</v>
      </c>
      <c r="C68" s="141"/>
      <c r="D68" s="141"/>
      <c r="E68" s="141"/>
      <c r="F68" s="50">
        <v>122.34</v>
      </c>
      <c r="G68" s="48"/>
      <c r="H68" s="48"/>
      <c r="I68" s="140" t="s">
        <v>109</v>
      </c>
      <c r="J68" s="141"/>
      <c r="K68" s="141"/>
      <c r="L68" s="141"/>
      <c r="M68" s="50">
        <v>122.34</v>
      </c>
      <c r="N68" s="39"/>
    </row>
    <row r="69" spans="2:14" ht="27.75" customHeight="1" x14ac:dyDescent="0.3">
      <c r="B69" s="140" t="s">
        <v>224</v>
      </c>
      <c r="C69" s="141"/>
      <c r="D69" s="141"/>
      <c r="E69" s="141"/>
      <c r="F69" s="50">
        <v>9.36</v>
      </c>
      <c r="G69" s="48"/>
      <c r="H69" s="48"/>
      <c r="I69" s="140" t="s">
        <v>224</v>
      </c>
      <c r="J69" s="141"/>
      <c r="K69" s="141"/>
      <c r="L69" s="141"/>
      <c r="M69" s="50">
        <v>9.36</v>
      </c>
      <c r="N69" s="34"/>
    </row>
    <row r="70" spans="2:14" ht="22.5" customHeight="1" x14ac:dyDescent="0.4">
      <c r="B70" s="140" t="s">
        <v>225</v>
      </c>
      <c r="C70" s="141"/>
      <c r="D70" s="141"/>
      <c r="E70" s="141"/>
      <c r="F70" s="50">
        <v>750</v>
      </c>
      <c r="G70" s="48"/>
      <c r="H70" s="48"/>
      <c r="I70" s="140" t="s">
        <v>225</v>
      </c>
      <c r="J70" s="141"/>
      <c r="K70" s="141"/>
      <c r="L70" s="141"/>
      <c r="M70" s="50">
        <v>750</v>
      </c>
      <c r="N70" s="35"/>
    </row>
    <row r="71" spans="2:14" ht="30.75" customHeight="1" x14ac:dyDescent="0.4">
      <c r="B71" s="156" t="s">
        <v>112</v>
      </c>
      <c r="C71" s="157"/>
      <c r="D71" s="157"/>
      <c r="E71" s="157"/>
      <c r="F71" s="52">
        <f>SUM(F63:F66)-SUM(F68:F70)</f>
        <v>1476.99</v>
      </c>
      <c r="G71" s="61"/>
      <c r="H71" s="48"/>
      <c r="I71" s="156" t="s">
        <v>112</v>
      </c>
      <c r="J71" s="157"/>
      <c r="K71" s="157"/>
      <c r="L71" s="157"/>
      <c r="M71" s="52">
        <f>SUM(M63:M66)-SUM(M68:M70)</f>
        <v>1476.99</v>
      </c>
      <c r="N71" s="36"/>
    </row>
    <row r="72" spans="2:14" ht="58.5" customHeight="1" x14ac:dyDescent="0.3">
      <c r="B72" s="144" t="s">
        <v>226</v>
      </c>
      <c r="C72" s="144"/>
      <c r="D72" s="144"/>
      <c r="E72" s="144"/>
      <c r="F72" s="144"/>
      <c r="G72" s="56"/>
      <c r="H72" s="48"/>
      <c r="I72" s="145" t="s">
        <v>226</v>
      </c>
      <c r="J72" s="145"/>
      <c r="K72" s="145"/>
      <c r="L72" s="145"/>
      <c r="M72" s="145"/>
      <c r="N72" s="36"/>
    </row>
    <row r="73" spans="2:14" ht="31.5" customHeight="1" x14ac:dyDescent="0.4">
      <c r="B73" s="137" t="s">
        <v>114</v>
      </c>
      <c r="C73" s="137"/>
      <c r="D73" s="137"/>
      <c r="E73" s="137"/>
      <c r="F73" s="137"/>
      <c r="G73" s="57"/>
      <c r="H73" s="48"/>
      <c r="I73" s="137" t="s">
        <v>114</v>
      </c>
      <c r="J73" s="137"/>
      <c r="K73" s="137"/>
      <c r="L73" s="137"/>
      <c r="M73" s="137"/>
      <c r="N73" s="36"/>
    </row>
    <row r="74" spans="2:14" ht="17.100000000000001" customHeight="1" x14ac:dyDescent="0.4">
      <c r="B74" s="137"/>
      <c r="C74" s="137"/>
      <c r="D74" s="137"/>
      <c r="E74" s="137"/>
      <c r="F74" s="137"/>
      <c r="G74" s="58"/>
      <c r="H74" s="48"/>
      <c r="I74" s="137"/>
      <c r="J74" s="137"/>
      <c r="K74" s="137"/>
      <c r="L74" s="137"/>
      <c r="M74" s="137"/>
      <c r="N74" s="36"/>
    </row>
    <row r="75" spans="2:14" ht="17.100000000000001" customHeight="1" x14ac:dyDescent="0.4">
      <c r="B75" s="138" t="s">
        <v>227</v>
      </c>
      <c r="C75" s="138"/>
      <c r="D75" s="138"/>
      <c r="E75" s="138"/>
      <c r="F75" s="138"/>
      <c r="G75" s="58"/>
      <c r="H75" s="48"/>
      <c r="I75" s="138" t="s">
        <v>227</v>
      </c>
      <c r="J75" s="138"/>
      <c r="K75" s="138"/>
      <c r="L75" s="138"/>
      <c r="M75" s="138"/>
      <c r="N75" s="36"/>
    </row>
    <row r="76" spans="2:14" ht="17.100000000000001" customHeight="1" x14ac:dyDescent="0.4">
      <c r="B76" s="36"/>
      <c r="C76" s="37"/>
      <c r="D76" s="37"/>
      <c r="E76" s="37"/>
      <c r="F76" s="37"/>
      <c r="G76" s="36"/>
      <c r="I76" s="36"/>
      <c r="J76" s="37"/>
      <c r="K76" s="37"/>
      <c r="L76" s="37"/>
      <c r="M76" s="37"/>
      <c r="N76" s="36"/>
    </row>
    <row r="77" spans="2:14" ht="17.100000000000001" customHeight="1" x14ac:dyDescent="0.4">
      <c r="B77" s="36"/>
      <c r="C77" s="37"/>
      <c r="D77" s="37"/>
      <c r="E77" s="37"/>
      <c r="F77" s="37"/>
      <c r="G77" s="36"/>
      <c r="I77" s="36"/>
      <c r="J77" s="37"/>
      <c r="K77" s="37"/>
      <c r="L77" s="37"/>
      <c r="M77" s="37"/>
      <c r="N77" s="36"/>
    </row>
    <row r="78" spans="2:14" ht="17.100000000000001" customHeight="1" x14ac:dyDescent="0.4">
      <c r="B78" s="36"/>
      <c r="C78" s="37"/>
      <c r="D78" s="37"/>
      <c r="E78" s="37"/>
      <c r="F78" s="37"/>
      <c r="G78" s="36"/>
      <c r="I78" s="36"/>
      <c r="J78" s="37"/>
      <c r="K78" s="37"/>
      <c r="L78" s="37"/>
      <c r="M78" s="37"/>
      <c r="N78" s="36"/>
    </row>
    <row r="79" spans="2:14" ht="47.25" customHeight="1" x14ac:dyDescent="0.4">
      <c r="B79" s="36"/>
      <c r="C79" s="37"/>
      <c r="D79" s="37"/>
      <c r="E79" s="37"/>
      <c r="F79" s="37"/>
      <c r="G79" s="36"/>
      <c r="I79" s="36"/>
      <c r="J79" s="37"/>
      <c r="K79" s="37"/>
      <c r="L79" s="37"/>
      <c r="M79" s="37"/>
    </row>
    <row r="80" spans="2:14" ht="21" customHeight="1" x14ac:dyDescent="0.4">
      <c r="B80" s="36"/>
      <c r="C80" s="37"/>
      <c r="D80" s="37"/>
      <c r="E80" s="37"/>
      <c r="F80" s="37"/>
      <c r="G80" s="36"/>
      <c r="I80" s="36"/>
      <c r="J80" s="37"/>
      <c r="K80" s="37"/>
      <c r="L80" s="37"/>
      <c r="M80" s="37"/>
      <c r="N80" s="24"/>
    </row>
    <row r="81" spans="2:16" ht="21" customHeight="1" x14ac:dyDescent="0.4">
      <c r="B81" s="36"/>
      <c r="C81" s="37"/>
      <c r="D81" s="37"/>
      <c r="E81" s="37"/>
      <c r="F81" s="37"/>
      <c r="G81" s="36"/>
      <c r="I81" s="36"/>
      <c r="J81" s="37"/>
      <c r="K81" s="37"/>
      <c r="L81" s="37"/>
      <c r="M81" s="37"/>
      <c r="N81" s="24"/>
    </row>
    <row r="82" spans="2:16" ht="21" customHeight="1" x14ac:dyDescent="0.4">
      <c r="B82" s="36"/>
      <c r="C82" s="37"/>
      <c r="D82" s="37"/>
      <c r="E82" s="37"/>
      <c r="F82" s="37"/>
      <c r="I82" s="36"/>
      <c r="J82" s="37"/>
      <c r="K82" s="37"/>
      <c r="L82" s="37"/>
      <c r="M82" s="37"/>
      <c r="N82" s="24"/>
    </row>
    <row r="83" spans="2:16" ht="65.25" customHeight="1" x14ac:dyDescent="0.4">
      <c r="B83" s="154" t="s">
        <v>96</v>
      </c>
      <c r="C83" s="154"/>
      <c r="D83" s="154"/>
      <c r="E83" s="154"/>
      <c r="F83" s="154"/>
      <c r="G83" s="49"/>
      <c r="H83" s="48"/>
      <c r="I83" s="154" t="s">
        <v>96</v>
      </c>
      <c r="J83" s="154"/>
      <c r="K83" s="154"/>
      <c r="L83" s="154"/>
      <c r="M83" s="154"/>
      <c r="N83" s="32"/>
    </row>
    <row r="84" spans="2:16" ht="18" customHeight="1" x14ac:dyDescent="0.4">
      <c r="B84" s="155" t="s">
        <v>97</v>
      </c>
      <c r="C84" s="155"/>
      <c r="D84" s="155"/>
      <c r="E84" s="155"/>
      <c r="F84" s="155"/>
      <c r="G84" s="49"/>
      <c r="H84" s="48"/>
      <c r="I84" s="155" t="s">
        <v>97</v>
      </c>
      <c r="J84" s="155"/>
      <c r="K84" s="155"/>
      <c r="L84" s="155"/>
      <c r="M84" s="155"/>
      <c r="N84" s="32"/>
      <c r="O84" s="21"/>
    </row>
    <row r="85" spans="2:16" ht="18" customHeight="1" x14ac:dyDescent="0.4">
      <c r="B85" s="155" t="s">
        <v>98</v>
      </c>
      <c r="C85" s="155"/>
      <c r="D85" s="155"/>
      <c r="E85" s="155"/>
      <c r="F85" s="155"/>
      <c r="G85" s="49"/>
      <c r="H85" s="48"/>
      <c r="I85" s="155" t="s">
        <v>98</v>
      </c>
      <c r="J85" s="155"/>
      <c r="K85" s="155"/>
      <c r="L85" s="155"/>
      <c r="M85" s="155"/>
      <c r="P85" s="21">
        <f>M89+M90</f>
        <v>1621</v>
      </c>
    </row>
    <row r="86" spans="2:16" ht="18" customHeight="1" x14ac:dyDescent="0.4">
      <c r="B86" s="155" t="s">
        <v>228</v>
      </c>
      <c r="C86" s="155"/>
      <c r="D86" s="155"/>
      <c r="E86" s="155"/>
      <c r="F86" s="155"/>
      <c r="G86" s="54"/>
      <c r="H86" s="48"/>
      <c r="I86" s="155" t="s">
        <v>228</v>
      </c>
      <c r="J86" s="155"/>
      <c r="K86" s="155"/>
      <c r="L86" s="155"/>
      <c r="M86" s="155"/>
    </row>
    <row r="87" spans="2:16" x14ac:dyDescent="0.4">
      <c r="B87" s="148" t="s">
        <v>100</v>
      </c>
      <c r="C87" s="149"/>
      <c r="D87" s="149"/>
      <c r="E87" s="149"/>
      <c r="F87" s="150"/>
      <c r="G87" s="54"/>
      <c r="H87" s="48"/>
      <c r="I87" s="148" t="s">
        <v>100</v>
      </c>
      <c r="J87" s="149"/>
      <c r="K87" s="149"/>
      <c r="L87" s="149"/>
      <c r="M87" s="150"/>
    </row>
    <row r="88" spans="2:16" ht="18" customHeight="1" x14ac:dyDescent="0.4">
      <c r="B88" s="151" t="s">
        <v>101</v>
      </c>
      <c r="C88" s="152"/>
      <c r="D88" s="152"/>
      <c r="E88" s="152"/>
      <c r="F88" s="153"/>
      <c r="G88" s="48"/>
      <c r="H88" s="48"/>
      <c r="I88" s="151" t="s">
        <v>101</v>
      </c>
      <c r="J88" s="152"/>
      <c r="K88" s="152"/>
      <c r="L88" s="152"/>
      <c r="M88" s="153"/>
    </row>
    <row r="89" spans="2:16" ht="18" customHeight="1" x14ac:dyDescent="0.4">
      <c r="B89" s="140" t="s">
        <v>210</v>
      </c>
      <c r="C89" s="141"/>
      <c r="D89" s="141"/>
      <c r="E89" s="141"/>
      <c r="F89" s="59">
        <v>1621</v>
      </c>
      <c r="G89" s="48"/>
      <c r="H89" s="48"/>
      <c r="I89" s="140" t="s">
        <v>210</v>
      </c>
      <c r="J89" s="141"/>
      <c r="K89" s="141"/>
      <c r="L89" s="141"/>
      <c r="M89" s="59">
        <v>1621</v>
      </c>
    </row>
    <row r="90" spans="2:16" ht="18" customHeight="1" x14ac:dyDescent="0.4">
      <c r="B90" s="158" t="s">
        <v>229</v>
      </c>
      <c r="C90" s="159"/>
      <c r="D90" s="159"/>
      <c r="E90" s="159"/>
      <c r="F90" s="59">
        <v>0</v>
      </c>
      <c r="G90" s="48"/>
      <c r="H90" s="48"/>
      <c r="I90" s="158" t="s">
        <v>229</v>
      </c>
      <c r="J90" s="159"/>
      <c r="K90" s="159"/>
      <c r="L90" s="159"/>
      <c r="M90" s="59">
        <v>0</v>
      </c>
    </row>
    <row r="91" spans="2:16" ht="24.75" customHeight="1" x14ac:dyDescent="0.4">
      <c r="B91" s="158" t="s">
        <v>106</v>
      </c>
      <c r="C91" s="159"/>
      <c r="D91" s="159"/>
      <c r="E91" s="159"/>
      <c r="F91" s="59"/>
      <c r="G91" s="48"/>
      <c r="H91" s="48"/>
      <c r="I91" s="158" t="s">
        <v>106</v>
      </c>
      <c r="J91" s="159"/>
      <c r="K91" s="159"/>
      <c r="L91" s="159"/>
      <c r="M91" s="59"/>
      <c r="N91" s="39"/>
    </row>
    <row r="92" spans="2:16" ht="22.5" customHeight="1" x14ac:dyDescent="0.3">
      <c r="B92" s="146" t="s">
        <v>107</v>
      </c>
      <c r="C92" s="147"/>
      <c r="D92" s="147"/>
      <c r="E92" s="147"/>
      <c r="F92" s="51"/>
      <c r="G92" s="48"/>
      <c r="H92" s="48"/>
      <c r="I92" s="146" t="s">
        <v>107</v>
      </c>
      <c r="J92" s="147"/>
      <c r="K92" s="147"/>
      <c r="L92" s="147"/>
      <c r="M92" s="51"/>
      <c r="N92" s="34"/>
    </row>
    <row r="93" spans="2:16" ht="27" customHeight="1" x14ac:dyDescent="0.4">
      <c r="B93" s="140" t="s">
        <v>225</v>
      </c>
      <c r="C93" s="141"/>
      <c r="D93" s="141"/>
      <c r="E93" s="141"/>
      <c r="F93" s="50">
        <v>550</v>
      </c>
      <c r="G93" s="48"/>
      <c r="H93" s="48"/>
      <c r="I93" s="140" t="s">
        <v>225</v>
      </c>
      <c r="J93" s="141"/>
      <c r="K93" s="141"/>
      <c r="L93" s="141"/>
      <c r="M93" s="50">
        <v>550</v>
      </c>
      <c r="N93" s="35"/>
    </row>
    <row r="94" spans="2:16" ht="17.100000000000001" customHeight="1" x14ac:dyDescent="0.4">
      <c r="B94" s="156" t="s">
        <v>112</v>
      </c>
      <c r="C94" s="157"/>
      <c r="D94" s="157"/>
      <c r="E94" s="157"/>
      <c r="F94" s="52">
        <f>SUM(F89:F91)-SUM(F93)</f>
        <v>1071</v>
      </c>
      <c r="G94" s="61"/>
      <c r="H94" s="48"/>
      <c r="I94" s="156" t="s">
        <v>112</v>
      </c>
      <c r="J94" s="157"/>
      <c r="K94" s="157"/>
      <c r="L94" s="157"/>
      <c r="M94" s="52">
        <f>SUM(M89:M91)-SUM(M93)</f>
        <v>1071</v>
      </c>
      <c r="N94" s="40"/>
    </row>
    <row r="95" spans="2:16" ht="47.25" customHeight="1" x14ac:dyDescent="0.3">
      <c r="B95" s="144" t="s">
        <v>230</v>
      </c>
      <c r="C95" s="144"/>
      <c r="D95" s="144"/>
      <c r="E95" s="144"/>
      <c r="F95" s="144"/>
      <c r="G95" s="56"/>
      <c r="H95" s="48"/>
      <c r="I95" s="145" t="s">
        <v>230</v>
      </c>
      <c r="J95" s="145"/>
      <c r="K95" s="145"/>
      <c r="L95" s="145"/>
      <c r="M95" s="145"/>
      <c r="N95" s="40"/>
    </row>
    <row r="96" spans="2:16" ht="17.100000000000001" customHeight="1" x14ac:dyDescent="0.4">
      <c r="B96" s="137" t="s">
        <v>114</v>
      </c>
      <c r="C96" s="137"/>
      <c r="D96" s="137"/>
      <c r="E96" s="137"/>
      <c r="F96" s="137"/>
      <c r="G96" s="57"/>
      <c r="H96" s="48"/>
      <c r="I96" s="137" t="s">
        <v>114</v>
      </c>
      <c r="J96" s="137"/>
      <c r="K96" s="137"/>
      <c r="L96" s="137"/>
      <c r="M96" s="137"/>
      <c r="N96" s="40"/>
    </row>
    <row r="97" spans="2:14" ht="17.100000000000001" customHeight="1" x14ac:dyDescent="0.4">
      <c r="B97" s="137"/>
      <c r="C97" s="137"/>
      <c r="D97" s="137"/>
      <c r="E97" s="137"/>
      <c r="F97" s="137"/>
      <c r="G97" s="62"/>
      <c r="H97" s="48"/>
      <c r="I97" s="137"/>
      <c r="J97" s="137"/>
      <c r="K97" s="137"/>
      <c r="L97" s="137"/>
      <c r="M97" s="137"/>
      <c r="N97" s="40"/>
    </row>
    <row r="98" spans="2:14" ht="17.100000000000001" customHeight="1" x14ac:dyDescent="0.4">
      <c r="B98" s="138" t="s">
        <v>231</v>
      </c>
      <c r="C98" s="138"/>
      <c r="D98" s="138"/>
      <c r="E98" s="138"/>
      <c r="F98" s="138"/>
      <c r="G98" s="62"/>
      <c r="H98" s="48"/>
      <c r="I98" s="138" t="s">
        <v>231</v>
      </c>
      <c r="J98" s="138"/>
      <c r="K98" s="138"/>
      <c r="L98" s="138"/>
      <c r="M98" s="138"/>
      <c r="N98" s="40"/>
    </row>
    <row r="99" spans="2:14" ht="17.100000000000001" customHeight="1" x14ac:dyDescent="0.4">
      <c r="B99" s="44"/>
      <c r="C99" s="44"/>
      <c r="D99" s="44"/>
      <c r="E99" s="44"/>
      <c r="F99" s="44"/>
      <c r="G99" s="40"/>
      <c r="I99" s="44"/>
      <c r="J99" s="44"/>
      <c r="K99" s="44"/>
      <c r="L99" s="44"/>
      <c r="M99" s="44"/>
      <c r="N99" s="40"/>
    </row>
    <row r="100" spans="2:14" ht="17.100000000000001" customHeight="1" x14ac:dyDescent="0.4">
      <c r="B100" s="44"/>
      <c r="C100" s="44"/>
      <c r="D100" s="44"/>
      <c r="E100" s="44"/>
      <c r="F100" s="44"/>
      <c r="G100" s="40"/>
      <c r="I100" s="44"/>
      <c r="J100" s="44"/>
      <c r="K100" s="44"/>
      <c r="L100" s="44"/>
      <c r="M100" s="44"/>
      <c r="N100" s="40"/>
    </row>
    <row r="101" spans="2:14" ht="17.100000000000001" customHeight="1" x14ac:dyDescent="0.4">
      <c r="B101" s="44"/>
      <c r="C101" s="44"/>
      <c r="D101" s="44"/>
      <c r="E101" s="44"/>
      <c r="F101" s="44"/>
      <c r="G101" s="40"/>
      <c r="I101" s="44"/>
      <c r="J101" s="44"/>
      <c r="K101" s="44"/>
      <c r="L101" s="44"/>
      <c r="M101" s="44"/>
      <c r="N101" s="40"/>
    </row>
    <row r="102" spans="2:14" ht="17.100000000000001" customHeight="1" x14ac:dyDescent="0.4">
      <c r="B102" s="44"/>
      <c r="C102" s="44"/>
      <c r="D102" s="44"/>
      <c r="E102" s="44"/>
      <c r="F102" s="44"/>
      <c r="G102" s="40"/>
      <c r="I102" s="44"/>
      <c r="J102" s="44"/>
      <c r="K102" s="44"/>
      <c r="L102" s="44"/>
      <c r="M102" s="44"/>
      <c r="N102" s="40"/>
    </row>
    <row r="103" spans="2:14" ht="17.100000000000001" customHeight="1" x14ac:dyDescent="0.4">
      <c r="B103" s="44"/>
      <c r="C103" s="44"/>
      <c r="D103" s="44"/>
      <c r="E103" s="44"/>
      <c r="F103" s="44"/>
      <c r="G103" s="40"/>
      <c r="I103" s="44"/>
      <c r="J103" s="44"/>
      <c r="K103" s="44"/>
      <c r="L103" s="44"/>
      <c r="M103" s="44"/>
      <c r="N103" s="40"/>
    </row>
    <row r="104" spans="2:14" ht="43.5" customHeight="1" x14ac:dyDescent="0.4">
      <c r="B104" s="44"/>
      <c r="C104" s="44"/>
      <c r="D104" s="44"/>
      <c r="E104" s="44"/>
      <c r="F104" s="44"/>
      <c r="G104" s="40"/>
      <c r="I104" s="44"/>
      <c r="J104" s="44"/>
      <c r="K104" s="44"/>
      <c r="L104" s="44"/>
      <c r="M104" s="44"/>
    </row>
    <row r="105" spans="2:14" ht="21" customHeight="1" x14ac:dyDescent="0.4">
      <c r="B105" s="44"/>
      <c r="C105" s="44"/>
      <c r="D105" s="44"/>
      <c r="E105" s="44"/>
      <c r="F105" s="44"/>
      <c r="G105" s="40"/>
      <c r="I105" s="44"/>
      <c r="J105" s="44"/>
      <c r="K105" s="44"/>
      <c r="L105" s="44"/>
      <c r="M105" s="44"/>
      <c r="N105" s="24"/>
    </row>
    <row r="106" spans="2:14" ht="18.75" customHeight="1" x14ac:dyDescent="0.4">
      <c r="B106" s="44"/>
      <c r="C106" s="44"/>
      <c r="D106" s="44"/>
      <c r="E106" s="44"/>
      <c r="F106" s="44"/>
      <c r="G106" s="40"/>
      <c r="I106" s="44"/>
      <c r="J106" s="44"/>
      <c r="K106" s="44"/>
      <c r="L106" s="44"/>
      <c r="M106" s="44"/>
      <c r="N106" s="24"/>
    </row>
    <row r="107" spans="2:14" ht="21" hidden="1" customHeight="1" x14ac:dyDescent="0.4">
      <c r="B107" s="44"/>
      <c r="C107" s="44"/>
      <c r="D107" s="44"/>
      <c r="E107" s="44"/>
      <c r="F107" s="44"/>
      <c r="I107" s="44"/>
      <c r="J107" s="44"/>
      <c r="K107" s="44"/>
      <c r="L107" s="44"/>
      <c r="M107" s="44"/>
      <c r="N107" s="24"/>
    </row>
    <row r="108" spans="2:14" ht="51.75" customHeight="1" x14ac:dyDescent="0.4">
      <c r="B108" s="154" t="s">
        <v>96</v>
      </c>
      <c r="C108" s="154"/>
      <c r="D108" s="154"/>
      <c r="E108" s="154"/>
      <c r="F108" s="154"/>
      <c r="G108" s="49"/>
      <c r="H108" s="48"/>
      <c r="I108" s="154" t="s">
        <v>96</v>
      </c>
      <c r="J108" s="154"/>
      <c r="K108" s="154"/>
      <c r="L108" s="154"/>
      <c r="M108" s="154"/>
      <c r="N108" s="32"/>
    </row>
    <row r="109" spans="2:14" ht="18" customHeight="1" x14ac:dyDescent="0.4">
      <c r="B109" s="155" t="s">
        <v>97</v>
      </c>
      <c r="C109" s="155"/>
      <c r="D109" s="155"/>
      <c r="E109" s="155"/>
      <c r="F109" s="155"/>
      <c r="G109" s="49"/>
      <c r="H109" s="48"/>
      <c r="I109" s="155" t="s">
        <v>97</v>
      </c>
      <c r="J109" s="155"/>
      <c r="K109" s="155"/>
      <c r="L109" s="155"/>
      <c r="M109" s="155"/>
      <c r="N109" s="32"/>
    </row>
    <row r="110" spans="2:14" ht="18" customHeight="1" x14ac:dyDescent="0.4">
      <c r="B110" s="155" t="s">
        <v>98</v>
      </c>
      <c r="C110" s="155"/>
      <c r="D110" s="155"/>
      <c r="E110" s="155"/>
      <c r="F110" s="155"/>
      <c r="G110" s="49"/>
      <c r="H110" s="48"/>
      <c r="I110" s="155" t="s">
        <v>98</v>
      </c>
      <c r="J110" s="155"/>
      <c r="K110" s="155"/>
      <c r="L110" s="155"/>
      <c r="M110" s="155"/>
    </row>
    <row r="111" spans="2:14" ht="18" customHeight="1" x14ac:dyDescent="0.4">
      <c r="B111" s="155" t="s">
        <v>232</v>
      </c>
      <c r="C111" s="155"/>
      <c r="D111" s="155"/>
      <c r="E111" s="155"/>
      <c r="F111" s="155"/>
      <c r="G111" s="54"/>
      <c r="H111" s="48"/>
      <c r="I111" s="155" t="s">
        <v>233</v>
      </c>
      <c r="J111" s="155"/>
      <c r="K111" s="155"/>
      <c r="L111" s="155"/>
      <c r="M111" s="155"/>
    </row>
    <row r="112" spans="2:14" ht="18" customHeight="1" x14ac:dyDescent="0.4">
      <c r="B112" s="148" t="s">
        <v>100</v>
      </c>
      <c r="C112" s="149"/>
      <c r="D112" s="149"/>
      <c r="E112" s="149"/>
      <c r="F112" s="150"/>
      <c r="G112" s="54"/>
      <c r="H112" s="48"/>
      <c r="I112" s="148" t="s">
        <v>100</v>
      </c>
      <c r="J112" s="149"/>
      <c r="K112" s="149"/>
      <c r="L112" s="149"/>
      <c r="M112" s="150"/>
    </row>
    <row r="113" spans="2:14" ht="18" customHeight="1" x14ac:dyDescent="0.4">
      <c r="B113" s="151" t="s">
        <v>101</v>
      </c>
      <c r="C113" s="152"/>
      <c r="D113" s="152"/>
      <c r="E113" s="152"/>
      <c r="F113" s="153"/>
      <c r="G113" s="48"/>
      <c r="H113" s="48"/>
      <c r="I113" s="151" t="s">
        <v>101</v>
      </c>
      <c r="J113" s="152"/>
      <c r="K113" s="152"/>
      <c r="L113" s="152"/>
      <c r="M113" s="153"/>
    </row>
    <row r="114" spans="2:14" ht="18" customHeight="1" x14ac:dyDescent="0.4">
      <c r="B114" s="140" t="s">
        <v>210</v>
      </c>
      <c r="C114" s="141"/>
      <c r="D114" s="141"/>
      <c r="E114" s="141"/>
      <c r="F114" s="50">
        <v>4000</v>
      </c>
      <c r="G114" s="48"/>
      <c r="H114" s="48"/>
      <c r="I114" s="140" t="s">
        <v>210</v>
      </c>
      <c r="J114" s="141"/>
      <c r="K114" s="141"/>
      <c r="L114" s="141"/>
      <c r="M114" s="50">
        <v>4000</v>
      </c>
    </row>
    <row r="115" spans="2:14" ht="18" customHeight="1" x14ac:dyDescent="0.4">
      <c r="B115" s="140" t="s">
        <v>146</v>
      </c>
      <c r="C115" s="141"/>
      <c r="D115" s="141"/>
      <c r="E115" s="141"/>
      <c r="F115" s="50">
        <v>953.64</v>
      </c>
      <c r="G115" s="48"/>
      <c r="H115" s="48"/>
      <c r="I115" s="140" t="s">
        <v>146</v>
      </c>
      <c r="J115" s="141"/>
      <c r="K115" s="141"/>
      <c r="L115" s="141"/>
      <c r="M115" s="50">
        <v>953.64</v>
      </c>
    </row>
    <row r="116" spans="2:14" ht="18" customHeight="1" x14ac:dyDescent="0.4">
      <c r="B116" s="140" t="s">
        <v>229</v>
      </c>
      <c r="C116" s="141"/>
      <c r="D116" s="141"/>
      <c r="E116" s="141"/>
      <c r="F116" s="50"/>
      <c r="G116" s="48"/>
      <c r="H116" s="48"/>
      <c r="I116" s="140" t="s">
        <v>229</v>
      </c>
      <c r="J116" s="141"/>
      <c r="K116" s="141"/>
      <c r="L116" s="141"/>
      <c r="M116" s="50"/>
    </row>
    <row r="117" spans="2:14" ht="18" customHeight="1" x14ac:dyDescent="0.4">
      <c r="B117" s="140"/>
      <c r="C117" s="141"/>
      <c r="D117" s="141"/>
      <c r="E117" s="141"/>
      <c r="F117" s="50"/>
      <c r="G117" s="48"/>
      <c r="H117" s="48"/>
      <c r="I117" s="140"/>
      <c r="J117" s="141"/>
      <c r="K117" s="141"/>
      <c r="L117" s="141"/>
      <c r="M117" s="50"/>
    </row>
    <row r="118" spans="2:14" ht="18" customHeight="1" x14ac:dyDescent="0.4">
      <c r="B118" s="140" t="s">
        <v>197</v>
      </c>
      <c r="C118" s="141"/>
      <c r="D118" s="141"/>
      <c r="E118" s="141"/>
      <c r="F118" s="50">
        <v>150.77000000000001</v>
      </c>
      <c r="G118" s="48"/>
      <c r="H118" s="48"/>
      <c r="I118" s="140" t="s">
        <v>197</v>
      </c>
      <c r="J118" s="141"/>
      <c r="K118" s="141"/>
      <c r="L118" s="141"/>
      <c r="M118" s="50">
        <v>150.77000000000001</v>
      </c>
    </row>
    <row r="119" spans="2:14" ht="18" customHeight="1" x14ac:dyDescent="0.4">
      <c r="B119" s="146" t="s">
        <v>107</v>
      </c>
      <c r="C119" s="147"/>
      <c r="D119" s="147"/>
      <c r="E119" s="147"/>
      <c r="F119" s="51"/>
      <c r="G119" s="48"/>
      <c r="H119" s="48"/>
      <c r="I119" s="146" t="s">
        <v>107</v>
      </c>
      <c r="J119" s="147"/>
      <c r="K119" s="147"/>
      <c r="L119" s="147"/>
      <c r="M119" s="51"/>
    </row>
    <row r="120" spans="2:14" ht="18" customHeight="1" x14ac:dyDescent="0.4">
      <c r="B120" s="140" t="s">
        <v>179</v>
      </c>
      <c r="C120" s="141"/>
      <c r="D120" s="141"/>
      <c r="E120" s="141"/>
      <c r="F120" s="50">
        <v>223.24</v>
      </c>
      <c r="G120" s="48"/>
      <c r="H120" s="48"/>
      <c r="I120" s="140" t="s">
        <v>179</v>
      </c>
      <c r="J120" s="141"/>
      <c r="K120" s="141"/>
      <c r="L120" s="141"/>
      <c r="M120" s="50">
        <v>223.24</v>
      </c>
    </row>
    <row r="121" spans="2:14" ht="18" customHeight="1" x14ac:dyDescent="0.4">
      <c r="B121" s="140" t="s">
        <v>234</v>
      </c>
      <c r="C121" s="141"/>
      <c r="D121" s="141"/>
      <c r="E121" s="141"/>
      <c r="F121" s="50">
        <v>383.33</v>
      </c>
      <c r="G121" s="48"/>
      <c r="H121" s="48"/>
      <c r="I121" s="140" t="s">
        <v>234</v>
      </c>
      <c r="J121" s="141"/>
      <c r="K121" s="141"/>
      <c r="L121" s="141"/>
      <c r="M121" s="50">
        <v>383.33</v>
      </c>
    </row>
    <row r="122" spans="2:14" ht="20.25" customHeight="1" x14ac:dyDescent="0.4">
      <c r="B122" s="140" t="s">
        <v>235</v>
      </c>
      <c r="C122" s="141"/>
      <c r="D122" s="141"/>
      <c r="E122" s="141"/>
      <c r="F122" s="50">
        <v>221.8</v>
      </c>
      <c r="G122" s="48"/>
      <c r="H122" s="48"/>
      <c r="I122" s="140" t="s">
        <v>235</v>
      </c>
      <c r="J122" s="141"/>
      <c r="K122" s="141"/>
      <c r="L122" s="141"/>
      <c r="M122" s="50">
        <v>221.8</v>
      </c>
      <c r="N122" s="39"/>
    </row>
    <row r="123" spans="2:14" ht="19.5" customHeight="1" x14ac:dyDescent="0.3">
      <c r="B123" s="140" t="s">
        <v>236</v>
      </c>
      <c r="C123" s="141"/>
      <c r="D123" s="141"/>
      <c r="E123" s="141"/>
      <c r="F123" s="50">
        <v>49.9</v>
      </c>
      <c r="G123" s="48"/>
      <c r="H123" s="48"/>
      <c r="I123" s="140" t="s">
        <v>236</v>
      </c>
      <c r="J123" s="141"/>
      <c r="K123" s="141"/>
      <c r="L123" s="141"/>
      <c r="M123" s="50">
        <v>49.9</v>
      </c>
      <c r="N123" s="34"/>
    </row>
    <row r="124" spans="2:14" ht="18" customHeight="1" x14ac:dyDescent="0.4">
      <c r="B124" s="140" t="s">
        <v>237</v>
      </c>
      <c r="C124" s="141"/>
      <c r="D124" s="141"/>
      <c r="E124" s="141"/>
      <c r="F124" s="50">
        <v>2000</v>
      </c>
      <c r="G124" s="48"/>
      <c r="H124" s="48"/>
      <c r="I124" s="140" t="s">
        <v>237</v>
      </c>
      <c r="J124" s="141"/>
      <c r="K124" s="141"/>
      <c r="L124" s="141"/>
      <c r="M124" s="50">
        <v>2000</v>
      </c>
      <c r="N124" s="35"/>
    </row>
    <row r="125" spans="2:14" ht="17.100000000000001" customHeight="1" x14ac:dyDescent="0.4">
      <c r="B125" s="142" t="s">
        <v>112</v>
      </c>
      <c r="C125" s="143"/>
      <c r="D125" s="143"/>
      <c r="E125" s="143"/>
      <c r="F125" s="52">
        <f>SUM(F114:F118)-SUM(F120:F124)</f>
        <v>2226.1400000000008</v>
      </c>
      <c r="G125" s="61"/>
      <c r="H125" s="48"/>
      <c r="I125" s="142" t="s">
        <v>112</v>
      </c>
      <c r="J125" s="143"/>
      <c r="K125" s="143"/>
      <c r="L125" s="143"/>
      <c r="M125" s="52">
        <f>SUM(M114:M118)-SUM(M120:M124)</f>
        <v>2226.1400000000008</v>
      </c>
      <c r="N125" s="40"/>
    </row>
    <row r="126" spans="2:14" ht="38.25" customHeight="1" x14ac:dyDescent="0.3">
      <c r="B126" s="144" t="s">
        <v>238</v>
      </c>
      <c r="C126" s="144"/>
      <c r="D126" s="144"/>
      <c r="E126" s="144"/>
      <c r="F126" s="144"/>
      <c r="G126" s="56"/>
      <c r="H126" s="48"/>
      <c r="I126" s="145" t="s">
        <v>238</v>
      </c>
      <c r="J126" s="145"/>
      <c r="K126" s="145"/>
      <c r="L126" s="145"/>
      <c r="M126" s="145"/>
      <c r="N126" s="40"/>
    </row>
    <row r="127" spans="2:14" ht="17.100000000000001" customHeight="1" x14ac:dyDescent="0.4">
      <c r="B127" s="137" t="s">
        <v>114</v>
      </c>
      <c r="C127" s="137"/>
      <c r="D127" s="137"/>
      <c r="E127" s="137"/>
      <c r="F127" s="137"/>
      <c r="G127" s="57"/>
      <c r="H127" s="48"/>
      <c r="I127" s="137" t="s">
        <v>114</v>
      </c>
      <c r="J127" s="137"/>
      <c r="K127" s="137"/>
      <c r="L127" s="137"/>
      <c r="M127" s="137"/>
      <c r="N127" s="40"/>
    </row>
    <row r="128" spans="2:14" ht="17.100000000000001" customHeight="1" x14ac:dyDescent="0.4">
      <c r="B128" s="137"/>
      <c r="C128" s="137"/>
      <c r="D128" s="137"/>
      <c r="E128" s="137"/>
      <c r="F128" s="137"/>
      <c r="G128" s="62"/>
      <c r="H128" s="48"/>
      <c r="I128" s="137"/>
      <c r="J128" s="137"/>
      <c r="K128" s="137"/>
      <c r="L128" s="137"/>
      <c r="M128" s="137"/>
      <c r="N128" s="40"/>
    </row>
    <row r="129" spans="2:14" ht="17.100000000000001" customHeight="1" x14ac:dyDescent="0.4">
      <c r="B129" s="138" t="s">
        <v>239</v>
      </c>
      <c r="C129" s="138"/>
      <c r="D129" s="138"/>
      <c r="E129" s="138"/>
      <c r="F129" s="138"/>
      <c r="G129" s="62"/>
      <c r="H129" s="48"/>
      <c r="I129" s="139" t="s">
        <v>239</v>
      </c>
      <c r="J129" s="139"/>
      <c r="K129" s="139"/>
      <c r="L129" s="139"/>
      <c r="M129" s="139"/>
      <c r="N129" s="40"/>
    </row>
    <row r="130" spans="2:14" ht="17.100000000000001" customHeight="1" x14ac:dyDescent="0.4">
      <c r="B130" s="40"/>
      <c r="C130" s="37"/>
      <c r="D130" s="37"/>
      <c r="E130" s="37"/>
      <c r="F130" s="37"/>
      <c r="G130" s="40"/>
      <c r="I130" s="40"/>
      <c r="J130" s="37"/>
      <c r="K130" s="37"/>
      <c r="L130" s="37"/>
      <c r="M130" s="37"/>
      <c r="N130" s="40"/>
    </row>
    <row r="131" spans="2:14" ht="17.100000000000001" customHeight="1" x14ac:dyDescent="0.4">
      <c r="B131" s="40"/>
      <c r="C131" s="37"/>
      <c r="D131" s="37"/>
      <c r="E131" s="37"/>
      <c r="F131" s="37"/>
      <c r="G131" s="40"/>
      <c r="I131" s="40"/>
      <c r="J131" s="37"/>
      <c r="K131" s="37"/>
      <c r="L131" s="37"/>
      <c r="M131" s="37"/>
      <c r="N131" s="40"/>
    </row>
    <row r="132" spans="2:14" ht="17.100000000000001" customHeight="1" x14ac:dyDescent="0.4">
      <c r="B132" s="40"/>
      <c r="C132" s="37"/>
      <c r="D132" s="37"/>
      <c r="E132" s="37"/>
      <c r="F132" s="37"/>
      <c r="G132" s="40"/>
      <c r="I132" s="40"/>
      <c r="J132" s="37"/>
      <c r="K132" s="37"/>
      <c r="L132" s="37"/>
      <c r="M132" s="37"/>
      <c r="N132" s="40"/>
    </row>
    <row r="133" spans="2:14" ht="17.100000000000001" customHeight="1" x14ac:dyDescent="0.4">
      <c r="B133" s="40"/>
      <c r="C133" s="37"/>
      <c r="D133" s="37"/>
      <c r="E133" s="37"/>
      <c r="F133" s="37"/>
      <c r="G133" s="40"/>
      <c r="I133" s="40"/>
      <c r="J133" s="37"/>
      <c r="K133" s="37"/>
      <c r="L133" s="37"/>
      <c r="M133" s="37"/>
      <c r="N133" s="40"/>
    </row>
    <row r="134" spans="2:14" ht="47.25" customHeight="1" x14ac:dyDescent="0.4">
      <c r="B134" s="40"/>
      <c r="C134" s="37"/>
      <c r="D134" s="37"/>
      <c r="E134" s="37"/>
      <c r="F134" s="37"/>
      <c r="G134" s="40"/>
      <c r="I134" s="40"/>
      <c r="J134" s="37"/>
      <c r="K134" s="37"/>
      <c r="L134" s="37"/>
      <c r="M134" s="37"/>
    </row>
    <row r="135" spans="2:14" ht="21" customHeight="1" x14ac:dyDescent="0.4">
      <c r="B135" s="40"/>
      <c r="C135" s="37"/>
      <c r="D135" s="37"/>
      <c r="E135" s="37"/>
      <c r="F135" s="37"/>
      <c r="G135" s="40"/>
      <c r="I135" s="40"/>
      <c r="J135" s="37"/>
      <c r="K135" s="37"/>
      <c r="L135" s="37"/>
      <c r="M135" s="37"/>
      <c r="N135" s="24"/>
    </row>
    <row r="136" spans="2:14" ht="21" customHeight="1" x14ac:dyDescent="0.4">
      <c r="B136" s="40"/>
      <c r="C136" s="37"/>
      <c r="D136" s="37"/>
      <c r="E136" s="37"/>
      <c r="F136" s="37"/>
      <c r="G136" s="40"/>
      <c r="I136" s="40"/>
      <c r="J136" s="37"/>
      <c r="K136" s="37"/>
      <c r="L136" s="37"/>
      <c r="M136" s="37"/>
      <c r="N136" s="24"/>
    </row>
    <row r="137" spans="2:14" ht="21" customHeight="1" x14ac:dyDescent="0.4">
      <c r="B137" s="40"/>
      <c r="C137" s="37"/>
      <c r="D137" s="37"/>
      <c r="E137" s="37"/>
      <c r="F137" s="37"/>
      <c r="I137" s="40"/>
      <c r="J137" s="37"/>
      <c r="K137" s="37"/>
      <c r="L137" s="37"/>
      <c r="M137" s="37"/>
      <c r="N137" s="24"/>
    </row>
    <row r="138" spans="2:14" ht="18" customHeight="1" x14ac:dyDescent="0.4">
      <c r="B138" s="102"/>
      <c r="C138" s="102"/>
      <c r="D138" s="102"/>
      <c r="E138" s="102"/>
      <c r="F138" s="102"/>
      <c r="G138" s="24"/>
      <c r="I138" s="102"/>
      <c r="J138" s="102"/>
      <c r="K138" s="102"/>
      <c r="L138" s="102"/>
      <c r="M138" s="102"/>
      <c r="N138" s="32"/>
    </row>
    <row r="139" spans="2:14" ht="18" customHeight="1" x14ac:dyDescent="0.4">
      <c r="B139" s="110"/>
      <c r="C139" s="110"/>
      <c r="D139" s="110"/>
      <c r="E139" s="110"/>
      <c r="F139" s="110"/>
      <c r="G139" s="24"/>
      <c r="I139" s="110"/>
      <c r="J139" s="110"/>
      <c r="K139" s="110"/>
      <c r="L139" s="110"/>
      <c r="M139" s="110"/>
      <c r="N139" s="32"/>
    </row>
    <row r="140" spans="2:14" ht="18" customHeight="1" x14ac:dyDescent="0.4">
      <c r="B140" s="110"/>
      <c r="C140" s="110"/>
      <c r="D140" s="110"/>
      <c r="E140" s="110"/>
      <c r="F140" s="110"/>
      <c r="G140" s="24"/>
      <c r="I140" s="110"/>
      <c r="J140" s="110"/>
      <c r="K140" s="110"/>
      <c r="L140" s="110"/>
      <c r="M140" s="110"/>
    </row>
    <row r="141" spans="2:14" ht="18" customHeight="1" x14ac:dyDescent="0.4">
      <c r="B141" s="110"/>
      <c r="C141" s="110"/>
      <c r="D141" s="110"/>
      <c r="E141" s="110"/>
      <c r="F141" s="110"/>
      <c r="G141" s="32"/>
      <c r="I141" s="110"/>
      <c r="J141" s="110"/>
      <c r="K141" s="110"/>
      <c r="L141" s="110"/>
      <c r="M141" s="110"/>
    </row>
    <row r="142" spans="2:14" x14ac:dyDescent="0.25">
      <c r="B142" s="131"/>
      <c r="C142" s="132"/>
      <c r="D142" s="132"/>
      <c r="E142" s="132"/>
      <c r="F142" s="133"/>
      <c r="G142" s="32"/>
      <c r="I142" s="114"/>
      <c r="J142" s="115"/>
      <c r="K142" s="115"/>
      <c r="L142" s="115"/>
      <c r="M142" s="116"/>
    </row>
    <row r="143" spans="2:14" ht="18" customHeight="1" x14ac:dyDescent="0.25">
      <c r="B143" s="134"/>
      <c r="C143" s="135"/>
      <c r="D143" s="135"/>
      <c r="E143" s="135"/>
      <c r="F143" s="136"/>
      <c r="I143" s="111"/>
      <c r="J143" s="112"/>
      <c r="K143" s="112"/>
      <c r="L143" s="112"/>
      <c r="M143" s="113"/>
    </row>
    <row r="144" spans="2:14" ht="18" customHeight="1" x14ac:dyDescent="0.3">
      <c r="B144" s="125"/>
      <c r="C144" s="126"/>
      <c r="D144" s="126"/>
      <c r="E144" s="126"/>
      <c r="F144" s="63"/>
      <c r="I144" s="97"/>
      <c r="J144" s="98"/>
      <c r="K144" s="98"/>
      <c r="L144" s="98"/>
      <c r="M144" s="26"/>
    </row>
    <row r="145" spans="2:14" ht="18" customHeight="1" x14ac:dyDescent="0.3">
      <c r="B145" s="125"/>
      <c r="C145" s="126"/>
      <c r="D145" s="126"/>
      <c r="E145" s="126"/>
      <c r="F145" s="63"/>
      <c r="I145" s="97"/>
      <c r="J145" s="98"/>
      <c r="K145" s="98"/>
      <c r="L145" s="98"/>
      <c r="M145" s="26"/>
    </row>
    <row r="146" spans="2:14" ht="18" customHeight="1" x14ac:dyDescent="0.3">
      <c r="B146" s="125"/>
      <c r="C146" s="126"/>
      <c r="D146" s="126"/>
      <c r="E146" s="126"/>
      <c r="F146" s="63"/>
      <c r="I146" s="97"/>
      <c r="J146" s="98"/>
      <c r="K146" s="98"/>
      <c r="L146" s="98"/>
      <c r="M146" s="26"/>
    </row>
    <row r="147" spans="2:14" ht="18" customHeight="1" x14ac:dyDescent="0.25">
      <c r="B147" s="129"/>
      <c r="C147" s="130"/>
      <c r="D147" s="130"/>
      <c r="E147" s="130"/>
      <c r="F147" s="64"/>
      <c r="I147" s="99"/>
      <c r="J147" s="100"/>
      <c r="K147" s="100"/>
      <c r="L147" s="100"/>
      <c r="M147" s="29"/>
    </row>
    <row r="148" spans="2:14" ht="18" customHeight="1" x14ac:dyDescent="0.3">
      <c r="B148" s="125"/>
      <c r="C148" s="126"/>
      <c r="D148" s="126"/>
      <c r="E148" s="126"/>
      <c r="F148" s="63"/>
      <c r="I148" s="97"/>
      <c r="J148" s="98"/>
      <c r="K148" s="98"/>
      <c r="L148" s="98"/>
      <c r="M148" s="26"/>
    </row>
    <row r="149" spans="2:14" ht="45" customHeight="1" x14ac:dyDescent="0.3">
      <c r="B149" s="125"/>
      <c r="C149" s="126"/>
      <c r="D149" s="126"/>
      <c r="E149" s="126"/>
      <c r="F149" s="63"/>
      <c r="I149" s="97"/>
      <c r="J149" s="98"/>
      <c r="K149" s="98"/>
      <c r="L149" s="98"/>
      <c r="M149" s="26"/>
      <c r="N149" s="39"/>
    </row>
    <row r="150" spans="2:14" ht="22.5" customHeight="1" x14ac:dyDescent="0.3">
      <c r="B150" s="125"/>
      <c r="C150" s="126"/>
      <c r="D150" s="126"/>
      <c r="E150" s="126"/>
      <c r="F150" s="63"/>
      <c r="I150" s="97"/>
      <c r="J150" s="98"/>
      <c r="K150" s="98"/>
      <c r="L150" s="98"/>
      <c r="M150" s="26"/>
      <c r="N150" s="34"/>
    </row>
    <row r="151" spans="2:14" ht="27" customHeight="1" x14ac:dyDescent="0.3">
      <c r="B151" s="125"/>
      <c r="C151" s="126"/>
      <c r="D151" s="126"/>
      <c r="E151" s="126"/>
      <c r="F151" s="63"/>
      <c r="I151" s="97"/>
      <c r="J151" s="98"/>
      <c r="K151" s="98"/>
      <c r="L151" s="98"/>
      <c r="M151" s="26"/>
      <c r="N151" s="35"/>
    </row>
    <row r="152" spans="2:14" ht="17.100000000000001" customHeight="1" x14ac:dyDescent="0.2">
      <c r="B152" s="127"/>
      <c r="C152" s="128"/>
      <c r="D152" s="128"/>
      <c r="E152" s="128"/>
      <c r="F152" s="65"/>
      <c r="G152" s="38"/>
      <c r="I152" s="104"/>
      <c r="J152" s="105"/>
      <c r="K152" s="105"/>
      <c r="L152" s="105"/>
      <c r="M152" s="30"/>
      <c r="N152" s="40"/>
    </row>
    <row r="153" spans="2:14" x14ac:dyDescent="0.3">
      <c r="B153" s="103"/>
      <c r="C153" s="103"/>
      <c r="D153" s="103"/>
      <c r="E153" s="103"/>
      <c r="F153" s="103"/>
      <c r="G153" s="34"/>
      <c r="I153" s="103"/>
      <c r="J153" s="103"/>
      <c r="K153" s="103"/>
      <c r="L153" s="103"/>
      <c r="M153" s="103"/>
    </row>
    <row r="154" spans="2:14" x14ac:dyDescent="0.3">
      <c r="B154" s="34"/>
      <c r="C154" s="34"/>
      <c r="D154" s="34"/>
      <c r="E154" s="34"/>
      <c r="F154" s="34"/>
      <c r="G154" s="35"/>
      <c r="I154" s="34"/>
      <c r="J154" s="34"/>
      <c r="K154" s="34"/>
      <c r="L154" s="34"/>
      <c r="M154" s="34"/>
    </row>
    <row r="155" spans="2:14" ht="19.5" x14ac:dyDescent="0.4">
      <c r="B155" s="33"/>
      <c r="C155" s="35"/>
      <c r="D155" s="35"/>
      <c r="E155" s="35"/>
      <c r="F155" s="35"/>
      <c r="G155" s="40"/>
      <c r="I155" s="33"/>
      <c r="J155" s="35"/>
      <c r="K155" s="35"/>
      <c r="L155" s="35"/>
      <c r="M155" s="35"/>
    </row>
    <row r="156" spans="2:14" ht="19.5" x14ac:dyDescent="0.4">
      <c r="B156" s="40"/>
      <c r="C156" s="108"/>
      <c r="D156" s="108"/>
      <c r="E156" s="108"/>
      <c r="F156" s="108"/>
      <c r="I156" s="40"/>
      <c r="J156" s="108"/>
      <c r="K156" s="108"/>
      <c r="L156" s="108"/>
      <c r="M156" s="108"/>
    </row>
  </sheetData>
  <mergeCells count="218">
    <mergeCell ref="B1:F1"/>
    <mergeCell ref="I1:M1"/>
    <mergeCell ref="B2:F2"/>
    <mergeCell ref="I2:M2"/>
    <mergeCell ref="B3:F3"/>
    <mergeCell ref="I3:M3"/>
    <mergeCell ref="B4:F4"/>
    <mergeCell ref="I4:M4"/>
    <mergeCell ref="B5:F5"/>
    <mergeCell ref="I5:M5"/>
    <mergeCell ref="B6:F6"/>
    <mergeCell ref="I6:M6"/>
    <mergeCell ref="B7:E7"/>
    <mergeCell ref="I7:L7"/>
    <mergeCell ref="B8:E8"/>
    <mergeCell ref="I8:L8"/>
    <mergeCell ref="B9:E9"/>
    <mergeCell ref="I9:L9"/>
    <mergeCell ref="B10:E10"/>
    <mergeCell ref="I10:L10"/>
    <mergeCell ref="B11:E11"/>
    <mergeCell ref="I11:L11"/>
    <mergeCell ref="B12:E12"/>
    <mergeCell ref="I12:L12"/>
    <mergeCell ref="B13:E13"/>
    <mergeCell ref="I13:L13"/>
    <mergeCell ref="B14:E14"/>
    <mergeCell ref="I14:L14"/>
    <mergeCell ref="B15:E15"/>
    <mergeCell ref="I15:L15"/>
    <mergeCell ref="B16:F16"/>
    <mergeCell ref="I16:M16"/>
    <mergeCell ref="B17:G17"/>
    <mergeCell ref="I17:N17"/>
    <mergeCell ref="B19:F19"/>
    <mergeCell ref="I19:M19"/>
    <mergeCell ref="B27:F27"/>
    <mergeCell ref="I27:M27"/>
    <mergeCell ref="B28:F28"/>
    <mergeCell ref="I28:M28"/>
    <mergeCell ref="B29:F29"/>
    <mergeCell ref="I29:M29"/>
    <mergeCell ref="B30:F30"/>
    <mergeCell ref="I30:M30"/>
    <mergeCell ref="B31:F31"/>
    <mergeCell ref="I31:M31"/>
    <mergeCell ref="B32:F32"/>
    <mergeCell ref="I32:M32"/>
    <mergeCell ref="B33:E33"/>
    <mergeCell ref="I33:L33"/>
    <mergeCell ref="B34:E34"/>
    <mergeCell ref="I34:L34"/>
    <mergeCell ref="B35:E35"/>
    <mergeCell ref="I35:L35"/>
    <mergeCell ref="B36:E36"/>
    <mergeCell ref="I36:L36"/>
    <mergeCell ref="B37:E37"/>
    <mergeCell ref="I37:L37"/>
    <mergeCell ref="B38:E38"/>
    <mergeCell ref="I38:L38"/>
    <mergeCell ref="B39:E39"/>
    <mergeCell ref="I39:L39"/>
    <mergeCell ref="B40:E40"/>
    <mergeCell ref="I40:L40"/>
    <mergeCell ref="B41:E41"/>
    <mergeCell ref="I41:L41"/>
    <mergeCell ref="B42:E42"/>
    <mergeCell ref="I42:L42"/>
    <mergeCell ref="B43:F43"/>
    <mergeCell ref="I43:M43"/>
    <mergeCell ref="B44:F44"/>
    <mergeCell ref="I44:M44"/>
    <mergeCell ref="B45:F45"/>
    <mergeCell ref="I45:M45"/>
    <mergeCell ref="B46:F46"/>
    <mergeCell ref="I46:M46"/>
    <mergeCell ref="B57:F57"/>
    <mergeCell ref="I57:M57"/>
    <mergeCell ref="B58:F58"/>
    <mergeCell ref="I58:M58"/>
    <mergeCell ref="B59:F59"/>
    <mergeCell ref="I59:M59"/>
    <mergeCell ref="B60:F60"/>
    <mergeCell ref="I60:M60"/>
    <mergeCell ref="B61:F61"/>
    <mergeCell ref="I61:M61"/>
    <mergeCell ref="B62:F62"/>
    <mergeCell ref="I62:M62"/>
    <mergeCell ref="B63:E63"/>
    <mergeCell ref="I63:L63"/>
    <mergeCell ref="B64:E64"/>
    <mergeCell ref="I64:L64"/>
    <mergeCell ref="B65:E65"/>
    <mergeCell ref="I65:L65"/>
    <mergeCell ref="B66:E66"/>
    <mergeCell ref="I66:L66"/>
    <mergeCell ref="B67:E67"/>
    <mergeCell ref="I67:L67"/>
    <mergeCell ref="B68:E68"/>
    <mergeCell ref="I68:L68"/>
    <mergeCell ref="B69:E69"/>
    <mergeCell ref="I69:L69"/>
    <mergeCell ref="B70:E70"/>
    <mergeCell ref="I70:L70"/>
    <mergeCell ref="B71:E71"/>
    <mergeCell ref="I71:L71"/>
    <mergeCell ref="B72:F72"/>
    <mergeCell ref="I72:M72"/>
    <mergeCell ref="B73:F74"/>
    <mergeCell ref="I73:M74"/>
    <mergeCell ref="B75:F75"/>
    <mergeCell ref="I75:M75"/>
    <mergeCell ref="B83:F83"/>
    <mergeCell ref="I83:M83"/>
    <mergeCell ref="B84:F84"/>
    <mergeCell ref="I84:M84"/>
    <mergeCell ref="B85:F85"/>
    <mergeCell ref="I85:M85"/>
    <mergeCell ref="B86:F86"/>
    <mergeCell ref="I86:M86"/>
    <mergeCell ref="B87:F87"/>
    <mergeCell ref="I87:M87"/>
    <mergeCell ref="B88:F88"/>
    <mergeCell ref="I88:M88"/>
    <mergeCell ref="B89:E89"/>
    <mergeCell ref="I89:L89"/>
    <mergeCell ref="B90:E90"/>
    <mergeCell ref="I90:L90"/>
    <mergeCell ref="B91:E91"/>
    <mergeCell ref="I91:L91"/>
    <mergeCell ref="B92:E92"/>
    <mergeCell ref="I92:L92"/>
    <mergeCell ref="B93:E93"/>
    <mergeCell ref="I93:L93"/>
    <mergeCell ref="B94:E94"/>
    <mergeCell ref="I94:L94"/>
    <mergeCell ref="B95:F95"/>
    <mergeCell ref="I95:M95"/>
    <mergeCell ref="B96:F97"/>
    <mergeCell ref="I96:M97"/>
    <mergeCell ref="B98:F98"/>
    <mergeCell ref="I98:M98"/>
    <mergeCell ref="B108:F108"/>
    <mergeCell ref="I108:M108"/>
    <mergeCell ref="B109:F109"/>
    <mergeCell ref="I109:M109"/>
    <mergeCell ref="B110:F110"/>
    <mergeCell ref="I110:M110"/>
    <mergeCell ref="B111:F111"/>
    <mergeCell ref="I111:M111"/>
    <mergeCell ref="B112:F112"/>
    <mergeCell ref="I112:M112"/>
    <mergeCell ref="B113:F113"/>
    <mergeCell ref="I113:M113"/>
    <mergeCell ref="B114:E114"/>
    <mergeCell ref="I114:L114"/>
    <mergeCell ref="B115:E115"/>
    <mergeCell ref="I115:L115"/>
    <mergeCell ref="B116:E116"/>
    <mergeCell ref="I116:L116"/>
    <mergeCell ref="B117:E117"/>
    <mergeCell ref="I117:L117"/>
    <mergeCell ref="B118:E118"/>
    <mergeCell ref="I118:L118"/>
    <mergeCell ref="B119:E119"/>
    <mergeCell ref="I119:L119"/>
    <mergeCell ref="B120:E120"/>
    <mergeCell ref="I120:L120"/>
    <mergeCell ref="B121:E121"/>
    <mergeCell ref="I121:L121"/>
    <mergeCell ref="B122:E122"/>
    <mergeCell ref="I122:L122"/>
    <mergeCell ref="B123:E123"/>
    <mergeCell ref="I123:L123"/>
    <mergeCell ref="B124:E124"/>
    <mergeCell ref="I124:L124"/>
    <mergeCell ref="B125:E125"/>
    <mergeCell ref="I125:L125"/>
    <mergeCell ref="B126:F126"/>
    <mergeCell ref="I126:M126"/>
    <mergeCell ref="B127:F128"/>
    <mergeCell ref="I127:M128"/>
    <mergeCell ref="B129:F129"/>
    <mergeCell ref="I129:M129"/>
    <mergeCell ref="B138:F138"/>
    <mergeCell ref="I138:M138"/>
    <mergeCell ref="B139:F139"/>
    <mergeCell ref="I139:M139"/>
    <mergeCell ref="B140:F140"/>
    <mergeCell ref="I140:M140"/>
    <mergeCell ref="B141:F141"/>
    <mergeCell ref="I141:M141"/>
    <mergeCell ref="B142:F142"/>
    <mergeCell ref="I142:M142"/>
    <mergeCell ref="B143:F143"/>
    <mergeCell ref="I143:M143"/>
    <mergeCell ref="B144:E144"/>
    <mergeCell ref="I144:L144"/>
    <mergeCell ref="B145:E145"/>
    <mergeCell ref="I145:L145"/>
    <mergeCell ref="B151:E151"/>
    <mergeCell ref="I151:L151"/>
    <mergeCell ref="B152:E152"/>
    <mergeCell ref="I152:L152"/>
    <mergeCell ref="B153:F153"/>
    <mergeCell ref="I153:M153"/>
    <mergeCell ref="C156:F156"/>
    <mergeCell ref="J156:M156"/>
    <mergeCell ref="B146:E146"/>
    <mergeCell ref="I146:L146"/>
    <mergeCell ref="B147:E147"/>
    <mergeCell ref="I147:L147"/>
    <mergeCell ref="B148:E148"/>
    <mergeCell ref="I148:L148"/>
    <mergeCell ref="B149:E149"/>
    <mergeCell ref="I149:L149"/>
    <mergeCell ref="B150:E150"/>
    <mergeCell ref="I150:L150"/>
  </mergeCells>
  <dataValidations count="1">
    <dataValidation allowBlank="1" showInputMessage="1" showErrorMessage="1" prompt="O título da planilha está nesta célula. Insira o nome do cartão de crédito para atualizar o título" sqref="B1 B108 B83 I108 I1 B27 B57 B138 I27 I83 I138 I57" xr:uid="{00000000-0002-0000-0C00-000000000000}"/>
  </dataValidations>
  <printOptions horizontalCentered="1"/>
  <pageMargins left="0" right="0" top="0" bottom="0" header="0" footer="0"/>
  <pageSetup paperSize="9" fitToHeight="0" orientation="landscape" horizontalDpi="4294967293"/>
  <headerFooter scaleWithDoc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/>
  </sheetPr>
  <dimension ref="A1:P156"/>
  <sheetViews>
    <sheetView topLeftCell="A111" workbookViewId="0">
      <selection activeCell="I139" sqref="I139:M148"/>
    </sheetView>
  </sheetViews>
  <sheetFormatPr defaultColWidth="8.88671875" defaultRowHeight="18.75" x14ac:dyDescent="0.4"/>
  <cols>
    <col min="1" max="1" width="2.21875" customWidth="1"/>
    <col min="2" max="2" width="17.6640625" customWidth="1"/>
    <col min="5" max="5" width="8.109375" customWidth="1"/>
    <col min="6" max="6" width="14.33203125" customWidth="1"/>
    <col min="7" max="7" width="1.6640625" customWidth="1"/>
    <col min="8" max="8" width="2.21875" customWidth="1"/>
    <col min="9" max="9" width="17.6640625" customWidth="1"/>
    <col min="13" max="13" width="14" customWidth="1"/>
    <col min="14" max="14" width="1.6640625" customWidth="1"/>
    <col min="15" max="16" width="10.77734375" bestFit="1" customWidth="1"/>
  </cols>
  <sheetData>
    <row r="1" spans="2:14" ht="43.5" customHeight="1" x14ac:dyDescent="0.4">
      <c r="B1" s="180" t="s">
        <v>96</v>
      </c>
      <c r="C1" s="180"/>
      <c r="D1" s="180"/>
      <c r="E1" s="180"/>
      <c r="F1" s="180"/>
      <c r="G1" s="66"/>
      <c r="H1" s="66"/>
      <c r="I1" s="180" t="s">
        <v>96</v>
      </c>
      <c r="J1" s="180"/>
      <c r="K1" s="180"/>
      <c r="L1" s="180"/>
      <c r="M1" s="180"/>
      <c r="N1" s="66"/>
    </row>
    <row r="2" spans="2:14" ht="21" customHeight="1" x14ac:dyDescent="0.4">
      <c r="B2" s="181" t="s">
        <v>97</v>
      </c>
      <c r="C2" s="181"/>
      <c r="D2" s="181"/>
      <c r="E2" s="181"/>
      <c r="F2" s="181"/>
      <c r="G2" s="67"/>
      <c r="H2" s="66"/>
      <c r="I2" s="181" t="s">
        <v>97</v>
      </c>
      <c r="J2" s="181"/>
      <c r="K2" s="181"/>
      <c r="L2" s="181"/>
      <c r="M2" s="181"/>
      <c r="N2" s="67"/>
    </row>
    <row r="3" spans="2:14" ht="21" customHeight="1" x14ac:dyDescent="0.4">
      <c r="B3" s="181" t="s">
        <v>98</v>
      </c>
      <c r="C3" s="181"/>
      <c r="D3" s="181"/>
      <c r="E3" s="181"/>
      <c r="F3" s="181"/>
      <c r="G3" s="67"/>
      <c r="H3" s="66"/>
      <c r="I3" s="181" t="s">
        <v>98</v>
      </c>
      <c r="J3" s="181"/>
      <c r="K3" s="181"/>
      <c r="L3" s="181"/>
      <c r="M3" s="181"/>
      <c r="N3" s="67"/>
    </row>
    <row r="4" spans="2:14" ht="21" customHeight="1" x14ac:dyDescent="0.4">
      <c r="B4" s="181" t="s">
        <v>202</v>
      </c>
      <c r="C4" s="181"/>
      <c r="D4" s="181"/>
      <c r="E4" s="181"/>
      <c r="F4" s="181"/>
      <c r="G4" s="67"/>
      <c r="H4" s="66"/>
      <c r="I4" s="186" t="s">
        <v>202</v>
      </c>
      <c r="J4" s="186"/>
      <c r="K4" s="186"/>
      <c r="L4" s="186"/>
      <c r="M4" s="186"/>
      <c r="N4" s="67"/>
    </row>
    <row r="5" spans="2:14" ht="18" customHeight="1" x14ac:dyDescent="0.4">
      <c r="B5" s="174" t="s">
        <v>100</v>
      </c>
      <c r="C5" s="175"/>
      <c r="D5" s="175"/>
      <c r="E5" s="175"/>
      <c r="F5" s="176"/>
      <c r="G5" s="66"/>
      <c r="H5" s="66"/>
      <c r="I5" s="174" t="s">
        <v>100</v>
      </c>
      <c r="J5" s="175"/>
      <c r="K5" s="175"/>
      <c r="L5" s="175"/>
      <c r="M5" s="176"/>
      <c r="N5" s="66"/>
    </row>
    <row r="6" spans="2:14" ht="18" customHeight="1" x14ac:dyDescent="0.4">
      <c r="B6" s="177" t="s">
        <v>101</v>
      </c>
      <c r="C6" s="178"/>
      <c r="D6" s="178"/>
      <c r="E6" s="178"/>
      <c r="F6" s="179"/>
      <c r="G6" s="66"/>
      <c r="H6" s="66"/>
      <c r="I6" s="177" t="s">
        <v>101</v>
      </c>
      <c r="J6" s="178"/>
      <c r="K6" s="178"/>
      <c r="L6" s="178"/>
      <c r="M6" s="179"/>
      <c r="N6" s="66"/>
    </row>
    <row r="7" spans="2:14" x14ac:dyDescent="0.4">
      <c r="B7" s="166" t="s">
        <v>257</v>
      </c>
      <c r="C7" s="167"/>
      <c r="D7" s="167"/>
      <c r="E7" s="167"/>
      <c r="F7" s="68">
        <v>2900</v>
      </c>
      <c r="G7" s="66"/>
      <c r="H7" s="66"/>
      <c r="I7" s="166" t="s">
        <v>257</v>
      </c>
      <c r="J7" s="167"/>
      <c r="K7" s="167"/>
      <c r="L7" s="167"/>
      <c r="M7" s="68">
        <v>2900</v>
      </c>
      <c r="N7" s="66"/>
    </row>
    <row r="8" spans="2:14" x14ac:dyDescent="0.4">
      <c r="B8" s="166" t="s">
        <v>204</v>
      </c>
      <c r="C8" s="167"/>
      <c r="D8" s="167"/>
      <c r="E8" s="167"/>
      <c r="F8" s="68">
        <v>0</v>
      </c>
      <c r="G8" s="66"/>
      <c r="H8" s="66"/>
      <c r="I8" s="166" t="s">
        <v>204</v>
      </c>
      <c r="J8" s="167"/>
      <c r="K8" s="167"/>
      <c r="L8" s="167"/>
      <c r="M8" s="68">
        <v>0</v>
      </c>
      <c r="N8" s="66"/>
    </row>
    <row r="9" spans="2:14" x14ac:dyDescent="0.4">
      <c r="B9" s="166" t="s">
        <v>105</v>
      </c>
      <c r="C9" s="167"/>
      <c r="D9" s="167"/>
      <c r="E9" s="167"/>
      <c r="F9" s="68">
        <v>0</v>
      </c>
      <c r="G9" s="66"/>
      <c r="H9" s="66"/>
      <c r="I9" s="166" t="s">
        <v>105</v>
      </c>
      <c r="J9" s="167"/>
      <c r="K9" s="167"/>
      <c r="L9" s="167"/>
      <c r="M9" s="68">
        <v>0</v>
      </c>
      <c r="N9" s="66"/>
    </row>
    <row r="10" spans="2:14" x14ac:dyDescent="0.4">
      <c r="B10" s="166" t="s">
        <v>106</v>
      </c>
      <c r="C10" s="167"/>
      <c r="D10" s="167"/>
      <c r="E10" s="167"/>
      <c r="F10" s="68">
        <v>34.409999999999997</v>
      </c>
      <c r="G10" s="66"/>
      <c r="H10" s="66"/>
      <c r="I10" s="166" t="s">
        <v>106</v>
      </c>
      <c r="J10" s="167"/>
      <c r="K10" s="167"/>
      <c r="L10" s="167"/>
      <c r="M10" s="68">
        <v>34.409999999999997</v>
      </c>
      <c r="N10" s="66"/>
    </row>
    <row r="11" spans="2:14" ht="18" customHeight="1" x14ac:dyDescent="0.4">
      <c r="B11" s="172" t="s">
        <v>107</v>
      </c>
      <c r="C11" s="173"/>
      <c r="D11" s="173"/>
      <c r="E11" s="173"/>
      <c r="F11" s="69"/>
      <c r="G11" s="66"/>
      <c r="H11" s="66"/>
      <c r="I11" s="172" t="s">
        <v>107</v>
      </c>
      <c r="J11" s="173"/>
      <c r="K11" s="173"/>
      <c r="L11" s="173"/>
      <c r="M11" s="69"/>
      <c r="N11" s="66"/>
    </row>
    <row r="12" spans="2:14" ht="18" customHeight="1" x14ac:dyDescent="0.4">
      <c r="B12" s="166" t="s">
        <v>109</v>
      </c>
      <c r="C12" s="167"/>
      <c r="D12" s="167"/>
      <c r="E12" s="167"/>
      <c r="F12" s="68">
        <v>154.75</v>
      </c>
      <c r="G12" s="66"/>
      <c r="H12" s="66"/>
      <c r="I12" s="166" t="s">
        <v>109</v>
      </c>
      <c r="J12" s="167"/>
      <c r="K12" s="167"/>
      <c r="L12" s="167"/>
      <c r="M12" s="68">
        <v>154.75</v>
      </c>
      <c r="N12" s="66"/>
    </row>
    <row r="13" spans="2:14" ht="18" customHeight="1" x14ac:dyDescent="0.4">
      <c r="B13" s="166" t="s">
        <v>205</v>
      </c>
      <c r="C13" s="167"/>
      <c r="D13" s="167"/>
      <c r="E13" s="167"/>
      <c r="F13" s="68">
        <v>69.680000000000007</v>
      </c>
      <c r="G13" s="66"/>
      <c r="H13" s="66"/>
      <c r="I13" s="166" t="s">
        <v>205</v>
      </c>
      <c r="J13" s="167"/>
      <c r="K13" s="167"/>
      <c r="L13" s="167"/>
      <c r="M13" s="68">
        <v>69.680000000000007</v>
      </c>
      <c r="N13" s="66"/>
    </row>
    <row r="14" spans="2:14" ht="18" customHeight="1" x14ac:dyDescent="0.4">
      <c r="B14" s="166" t="s">
        <v>206</v>
      </c>
      <c r="C14" s="167"/>
      <c r="D14" s="167"/>
      <c r="E14" s="167"/>
      <c r="F14" s="68">
        <v>580</v>
      </c>
      <c r="G14" s="66"/>
      <c r="H14" s="66"/>
      <c r="I14" s="166" t="s">
        <v>206</v>
      </c>
      <c r="J14" s="167"/>
      <c r="K14" s="167"/>
      <c r="L14" s="167"/>
      <c r="M14" s="68">
        <v>580</v>
      </c>
      <c r="N14" s="66"/>
    </row>
    <row r="15" spans="2:14" ht="18" customHeight="1" x14ac:dyDescent="0.4">
      <c r="B15" s="168" t="s">
        <v>112</v>
      </c>
      <c r="C15" s="169"/>
      <c r="D15" s="169"/>
      <c r="E15" s="169"/>
      <c r="F15" s="70">
        <f>SUM(F7:F10)-SUM(F12:F14)</f>
        <v>2129.9799999999996</v>
      </c>
      <c r="G15" s="66"/>
      <c r="H15" s="66"/>
      <c r="I15" s="168" t="s">
        <v>112</v>
      </c>
      <c r="J15" s="169"/>
      <c r="K15" s="169"/>
      <c r="L15" s="169"/>
      <c r="M15" s="70">
        <f>SUM(M7:M10)-SUM(M12:M14)</f>
        <v>2129.9799999999996</v>
      </c>
      <c r="N15" s="66"/>
    </row>
    <row r="16" spans="2:14" ht="48.95" customHeight="1" x14ac:dyDescent="0.4">
      <c r="B16" s="170" t="s">
        <v>258</v>
      </c>
      <c r="C16" s="170"/>
      <c r="D16" s="170"/>
      <c r="E16" s="170"/>
      <c r="F16" s="170"/>
      <c r="G16" s="71"/>
      <c r="H16" s="72"/>
      <c r="I16" s="171" t="s">
        <v>258</v>
      </c>
      <c r="J16" s="171"/>
      <c r="K16" s="171"/>
      <c r="L16" s="171"/>
      <c r="M16" s="171"/>
      <c r="N16" s="73"/>
    </row>
    <row r="17" spans="1:14" ht="22.5" customHeight="1" x14ac:dyDescent="0.3">
      <c r="B17" s="163" t="s">
        <v>114</v>
      </c>
      <c r="C17" s="163"/>
      <c r="D17" s="163"/>
      <c r="E17" s="163"/>
      <c r="F17" s="163"/>
      <c r="G17" s="163"/>
      <c r="H17" s="66"/>
      <c r="I17" s="163" t="s">
        <v>114</v>
      </c>
      <c r="J17" s="163"/>
      <c r="K17" s="163"/>
      <c r="L17" s="163"/>
      <c r="M17" s="163"/>
      <c r="N17" s="163"/>
    </row>
    <row r="18" spans="1:14" ht="32.25" customHeight="1" x14ac:dyDescent="0.4">
      <c r="B18" s="73"/>
      <c r="C18" s="75"/>
      <c r="D18" s="75"/>
      <c r="E18" s="75"/>
      <c r="F18" s="75"/>
      <c r="G18" s="75"/>
      <c r="H18" s="66"/>
      <c r="I18" s="73"/>
      <c r="J18" s="75"/>
      <c r="K18" s="75"/>
      <c r="L18" s="75"/>
      <c r="M18" s="75"/>
      <c r="N18" s="75"/>
    </row>
    <row r="19" spans="1:14" ht="16.899999999999999" customHeight="1" x14ac:dyDescent="0.4">
      <c r="B19" s="164" t="s">
        <v>208</v>
      </c>
      <c r="C19" s="164"/>
      <c r="D19" s="164"/>
      <c r="E19" s="164"/>
      <c r="F19" s="164"/>
      <c r="G19" s="77"/>
      <c r="H19" s="66"/>
      <c r="I19" s="164" t="s">
        <v>208</v>
      </c>
      <c r="J19" s="164"/>
      <c r="K19" s="164"/>
      <c r="L19" s="164"/>
      <c r="M19" s="164"/>
      <c r="N19" s="77"/>
    </row>
    <row r="20" spans="1:14" ht="16.899999999999999" customHeight="1" x14ac:dyDescent="0.4">
      <c r="B20" s="36"/>
      <c r="C20" s="37"/>
      <c r="D20" s="37"/>
      <c r="E20" s="37"/>
      <c r="F20" s="37"/>
      <c r="G20" s="36"/>
      <c r="I20" s="36"/>
      <c r="J20" s="37"/>
      <c r="K20" s="37"/>
      <c r="L20" s="37"/>
      <c r="M20" s="37"/>
      <c r="N20" s="36"/>
    </row>
    <row r="21" spans="1:14" ht="16.899999999999999" customHeight="1" x14ac:dyDescent="0.4">
      <c r="B21" s="36"/>
      <c r="C21" s="37"/>
      <c r="D21" s="37"/>
      <c r="E21" s="37"/>
      <c r="F21" s="37"/>
      <c r="G21" s="36"/>
      <c r="I21" s="36"/>
      <c r="J21" s="37"/>
      <c r="K21" s="37"/>
      <c r="L21" s="37"/>
      <c r="M21" s="37"/>
      <c r="N21" s="36"/>
    </row>
    <row r="22" spans="1:14" ht="16.899999999999999" customHeight="1" x14ac:dyDescent="0.4">
      <c r="B22" s="36"/>
      <c r="C22" s="37"/>
      <c r="D22" s="37"/>
      <c r="E22" s="37"/>
      <c r="F22" s="37"/>
      <c r="G22" s="36"/>
      <c r="I22" s="36"/>
      <c r="J22" s="37"/>
      <c r="K22" s="37"/>
      <c r="L22" s="37"/>
      <c r="M22" s="37"/>
      <c r="N22" s="36"/>
    </row>
    <row r="23" spans="1:14" ht="16.899999999999999" customHeight="1" x14ac:dyDescent="0.4">
      <c r="B23" s="36"/>
      <c r="C23" s="37"/>
      <c r="D23" s="37"/>
      <c r="E23" s="37"/>
      <c r="F23" s="37"/>
      <c r="G23" s="36"/>
      <c r="I23" s="36"/>
      <c r="J23" s="37"/>
      <c r="K23" s="37"/>
      <c r="L23" s="37"/>
      <c r="M23" s="37"/>
      <c r="N23" s="36"/>
    </row>
    <row r="24" spans="1:14" ht="16.899999999999999" customHeight="1" x14ac:dyDescent="0.4">
      <c r="B24" s="36"/>
      <c r="C24" s="37"/>
      <c r="D24" s="37"/>
      <c r="E24" s="37"/>
      <c r="F24" s="37"/>
      <c r="G24" s="36"/>
      <c r="I24" s="36"/>
      <c r="J24" s="37"/>
      <c r="K24" s="37"/>
      <c r="L24" s="37"/>
      <c r="M24" s="37"/>
      <c r="N24" s="36"/>
    </row>
    <row r="25" spans="1:14" ht="16.899999999999999" customHeight="1" x14ac:dyDescent="0.4">
      <c r="B25" s="36"/>
      <c r="C25" s="37"/>
      <c r="D25" s="37"/>
      <c r="E25" s="37"/>
      <c r="F25" s="37"/>
      <c r="G25" s="36"/>
      <c r="I25" s="36"/>
      <c r="J25" s="37"/>
      <c r="K25" s="37"/>
      <c r="L25" s="37"/>
      <c r="M25" s="37"/>
      <c r="N25" s="36"/>
    </row>
    <row r="26" spans="1:14" ht="16.899999999999999" customHeight="1" x14ac:dyDescent="0.4">
      <c r="B26" s="36"/>
      <c r="C26" s="37"/>
      <c r="D26" s="37"/>
      <c r="E26" s="37"/>
      <c r="F26" s="37"/>
      <c r="G26" s="36"/>
      <c r="I26" s="36"/>
      <c r="J26" s="37"/>
      <c r="K26" s="37"/>
      <c r="L26" s="37"/>
      <c r="M26" s="37"/>
      <c r="N26" s="36"/>
    </row>
    <row r="27" spans="1:14" ht="47.25" customHeight="1" x14ac:dyDescent="0.4">
      <c r="A27" s="66"/>
      <c r="B27" s="180" t="s">
        <v>96</v>
      </c>
      <c r="C27" s="180"/>
      <c r="D27" s="180"/>
      <c r="E27" s="180"/>
      <c r="F27" s="180"/>
      <c r="G27" s="66"/>
      <c r="H27" s="66"/>
      <c r="I27" s="180" t="s">
        <v>96</v>
      </c>
      <c r="J27" s="180"/>
      <c r="K27" s="180"/>
      <c r="L27" s="180"/>
      <c r="M27" s="180"/>
    </row>
    <row r="28" spans="1:14" ht="21" customHeight="1" x14ac:dyDescent="0.4">
      <c r="A28" s="66"/>
      <c r="B28" s="181" t="s">
        <v>97</v>
      </c>
      <c r="C28" s="181"/>
      <c r="D28" s="181"/>
      <c r="E28" s="181"/>
      <c r="F28" s="181"/>
      <c r="G28" s="67"/>
      <c r="H28" s="66"/>
      <c r="I28" s="181" t="s">
        <v>97</v>
      </c>
      <c r="J28" s="181"/>
      <c r="K28" s="181"/>
      <c r="L28" s="181"/>
      <c r="M28" s="181"/>
      <c r="N28" s="24"/>
    </row>
    <row r="29" spans="1:14" ht="21" customHeight="1" x14ac:dyDescent="0.4">
      <c r="A29" s="66"/>
      <c r="B29" s="181" t="s">
        <v>98</v>
      </c>
      <c r="C29" s="181"/>
      <c r="D29" s="181"/>
      <c r="E29" s="181"/>
      <c r="F29" s="181"/>
      <c r="G29" s="67"/>
      <c r="H29" s="66"/>
      <c r="I29" s="181" t="s">
        <v>98</v>
      </c>
      <c r="J29" s="181"/>
      <c r="K29" s="181"/>
      <c r="L29" s="181"/>
      <c r="M29" s="181"/>
      <c r="N29" s="24"/>
    </row>
    <row r="30" spans="1:14" ht="21" customHeight="1" x14ac:dyDescent="0.4">
      <c r="A30" s="66"/>
      <c r="B30" s="181" t="s">
        <v>245</v>
      </c>
      <c r="C30" s="181"/>
      <c r="D30" s="181"/>
      <c r="E30" s="181"/>
      <c r="F30" s="181"/>
      <c r="G30" s="67"/>
      <c r="H30" s="66"/>
      <c r="I30" s="186" t="s">
        <v>245</v>
      </c>
      <c r="J30" s="186"/>
      <c r="K30" s="186"/>
      <c r="L30" s="186"/>
      <c r="M30" s="186"/>
      <c r="N30" s="24"/>
    </row>
    <row r="31" spans="1:14" ht="18" customHeight="1" x14ac:dyDescent="0.4">
      <c r="A31" s="66"/>
      <c r="B31" s="174" t="s">
        <v>100</v>
      </c>
      <c r="C31" s="175"/>
      <c r="D31" s="175"/>
      <c r="E31" s="175"/>
      <c r="F31" s="176"/>
      <c r="G31" s="72"/>
      <c r="H31" s="66"/>
      <c r="I31" s="174" t="s">
        <v>100</v>
      </c>
      <c r="J31" s="175"/>
      <c r="K31" s="175"/>
      <c r="L31" s="175"/>
      <c r="M31" s="176"/>
      <c r="N31" s="32"/>
    </row>
    <row r="32" spans="1:14" ht="18" customHeight="1" x14ac:dyDescent="0.4">
      <c r="A32" s="66"/>
      <c r="B32" s="177" t="s">
        <v>101</v>
      </c>
      <c r="C32" s="178"/>
      <c r="D32" s="178"/>
      <c r="E32" s="178"/>
      <c r="F32" s="179"/>
      <c r="G32" s="72"/>
      <c r="H32" s="66"/>
      <c r="I32" s="177" t="s">
        <v>101</v>
      </c>
      <c r="J32" s="178"/>
      <c r="K32" s="178"/>
      <c r="L32" s="178"/>
      <c r="M32" s="179"/>
      <c r="N32" s="32"/>
    </row>
    <row r="33" spans="1:14" ht="18" customHeight="1" x14ac:dyDescent="0.4">
      <c r="A33" s="66"/>
      <c r="B33" s="166" t="s">
        <v>246</v>
      </c>
      <c r="C33" s="167"/>
      <c r="D33" s="167"/>
      <c r="E33" s="167"/>
      <c r="F33" s="78">
        <v>0</v>
      </c>
      <c r="G33" s="66"/>
      <c r="H33" s="66"/>
      <c r="I33" s="166" t="s">
        <v>246</v>
      </c>
      <c r="J33" s="167"/>
      <c r="K33" s="167"/>
      <c r="L33" s="167"/>
      <c r="M33" s="79">
        <v>0</v>
      </c>
    </row>
    <row r="34" spans="1:14" ht="18" customHeight="1" x14ac:dyDescent="0.4">
      <c r="A34" s="66"/>
      <c r="B34" s="166" t="s">
        <v>211</v>
      </c>
      <c r="C34" s="167"/>
      <c r="D34" s="167"/>
      <c r="E34" s="167"/>
      <c r="F34" s="68">
        <v>0</v>
      </c>
      <c r="G34" s="66"/>
      <c r="H34" s="66"/>
      <c r="I34" s="166" t="s">
        <v>211</v>
      </c>
      <c r="J34" s="167"/>
      <c r="K34" s="167"/>
      <c r="L34" s="167"/>
      <c r="M34" s="68">
        <v>0</v>
      </c>
    </row>
    <row r="35" spans="1:14" ht="18" customHeight="1" x14ac:dyDescent="0.4">
      <c r="A35" s="66"/>
      <c r="B35" s="166" t="s">
        <v>212</v>
      </c>
      <c r="C35" s="167"/>
      <c r="D35" s="167"/>
      <c r="E35" s="167"/>
      <c r="F35" s="68">
        <v>0</v>
      </c>
      <c r="G35" s="66"/>
      <c r="H35" s="66"/>
      <c r="I35" s="166" t="s">
        <v>213</v>
      </c>
      <c r="J35" s="167"/>
      <c r="K35" s="167"/>
      <c r="L35" s="167"/>
      <c r="M35" s="68">
        <v>0</v>
      </c>
    </row>
    <row r="36" spans="1:14" ht="18" customHeight="1" x14ac:dyDescent="0.4">
      <c r="A36" s="66"/>
      <c r="B36" s="166" t="s">
        <v>214</v>
      </c>
      <c r="C36" s="167"/>
      <c r="D36" s="167"/>
      <c r="E36" s="167"/>
      <c r="F36" s="68">
        <v>0</v>
      </c>
      <c r="G36" s="66"/>
      <c r="H36" s="66"/>
      <c r="I36" s="166" t="s">
        <v>214</v>
      </c>
      <c r="J36" s="167"/>
      <c r="K36" s="167"/>
      <c r="L36" s="167"/>
      <c r="M36" s="68">
        <v>0</v>
      </c>
    </row>
    <row r="37" spans="1:14" ht="18" customHeight="1" x14ac:dyDescent="0.4">
      <c r="A37" s="66"/>
      <c r="B37" s="172" t="s">
        <v>107</v>
      </c>
      <c r="C37" s="173"/>
      <c r="D37" s="173"/>
      <c r="E37" s="173"/>
      <c r="F37" s="69"/>
      <c r="G37" s="66"/>
      <c r="H37" s="66"/>
      <c r="I37" s="172" t="s">
        <v>107</v>
      </c>
      <c r="J37" s="173"/>
      <c r="K37" s="173"/>
      <c r="L37" s="173"/>
      <c r="M37" s="69"/>
    </row>
    <row r="38" spans="1:14" ht="18" customHeight="1" x14ac:dyDescent="0.4">
      <c r="A38" s="66"/>
      <c r="B38" s="166" t="s">
        <v>215</v>
      </c>
      <c r="C38" s="167"/>
      <c r="D38" s="167"/>
      <c r="E38" s="167"/>
      <c r="F38" s="68">
        <v>0</v>
      </c>
      <c r="G38" s="66"/>
      <c r="H38" s="66"/>
      <c r="I38" s="166" t="s">
        <v>215</v>
      </c>
      <c r="J38" s="167"/>
      <c r="K38" s="167"/>
      <c r="L38" s="167"/>
      <c r="M38" s="68">
        <v>0</v>
      </c>
    </row>
    <row r="39" spans="1:14" ht="18" customHeight="1" x14ac:dyDescent="0.4">
      <c r="A39" s="66"/>
      <c r="B39" s="166" t="s">
        <v>216</v>
      </c>
      <c r="C39" s="167"/>
      <c r="D39" s="167"/>
      <c r="E39" s="167"/>
      <c r="F39" s="68">
        <v>0</v>
      </c>
      <c r="G39" s="66"/>
      <c r="H39" s="66"/>
      <c r="I39" s="166" t="s">
        <v>216</v>
      </c>
      <c r="J39" s="167"/>
      <c r="K39" s="167"/>
      <c r="L39" s="167"/>
      <c r="M39" s="68">
        <v>0</v>
      </c>
    </row>
    <row r="40" spans="1:14" ht="28.5" customHeight="1" x14ac:dyDescent="0.4">
      <c r="A40" s="66"/>
      <c r="B40" s="166" t="s">
        <v>217</v>
      </c>
      <c r="C40" s="167"/>
      <c r="D40" s="167"/>
      <c r="E40" s="167"/>
      <c r="F40" s="68">
        <v>0</v>
      </c>
      <c r="G40" s="66"/>
      <c r="H40" s="66"/>
      <c r="I40" s="166" t="s">
        <v>217</v>
      </c>
      <c r="J40" s="167"/>
      <c r="K40" s="167"/>
      <c r="L40" s="167"/>
      <c r="M40" s="68">
        <v>0</v>
      </c>
      <c r="N40" s="39"/>
    </row>
    <row r="41" spans="1:14" ht="22.5" customHeight="1" x14ac:dyDescent="0.3">
      <c r="A41" s="66"/>
      <c r="B41" s="166" t="s">
        <v>218</v>
      </c>
      <c r="C41" s="167"/>
      <c r="D41" s="167"/>
      <c r="E41" s="167"/>
      <c r="F41" s="68">
        <v>0</v>
      </c>
      <c r="G41" s="66"/>
      <c r="H41" s="66"/>
      <c r="I41" s="166" t="s">
        <v>218</v>
      </c>
      <c r="J41" s="167"/>
      <c r="K41" s="167"/>
      <c r="L41" s="167"/>
      <c r="M41" s="68">
        <v>0</v>
      </c>
      <c r="N41" s="34"/>
    </row>
    <row r="42" spans="1:14" ht="42.75" customHeight="1" x14ac:dyDescent="0.4">
      <c r="A42" s="66"/>
      <c r="B42" s="168" t="s">
        <v>112</v>
      </c>
      <c r="C42" s="169"/>
      <c r="D42" s="169"/>
      <c r="E42" s="169"/>
      <c r="F42" s="70">
        <f>SUM(F33:F36)-SUM(F38:F41)</f>
        <v>0</v>
      </c>
      <c r="G42" s="80"/>
      <c r="H42" s="66"/>
      <c r="I42" s="168" t="s">
        <v>112</v>
      </c>
      <c r="J42" s="169"/>
      <c r="K42" s="169"/>
      <c r="L42" s="169"/>
      <c r="M42" s="70">
        <f>SUM(M33:M36)-SUM(M38:M41)</f>
        <v>0</v>
      </c>
      <c r="N42" s="35"/>
    </row>
    <row r="43" spans="1:14" ht="31.5" customHeight="1" x14ac:dyDescent="0.3">
      <c r="A43" s="66"/>
      <c r="B43" s="170" t="s">
        <v>247</v>
      </c>
      <c r="C43" s="170"/>
      <c r="D43" s="170"/>
      <c r="E43" s="170"/>
      <c r="F43" s="170"/>
      <c r="G43" s="74"/>
      <c r="H43" s="66"/>
      <c r="I43" s="171" t="s">
        <v>247</v>
      </c>
      <c r="J43" s="171"/>
      <c r="K43" s="171"/>
      <c r="L43" s="171"/>
      <c r="M43" s="171"/>
      <c r="N43" s="40"/>
    </row>
    <row r="44" spans="1:14" ht="28.5" customHeight="1" x14ac:dyDescent="0.3">
      <c r="A44" s="66"/>
      <c r="B44" s="163" t="s">
        <v>114</v>
      </c>
      <c r="C44" s="163"/>
      <c r="D44" s="163"/>
      <c r="E44" s="163"/>
      <c r="F44" s="163"/>
      <c r="G44" s="75"/>
      <c r="H44" s="66"/>
      <c r="I44" s="163" t="s">
        <v>114</v>
      </c>
      <c r="J44" s="163"/>
      <c r="K44" s="163"/>
      <c r="L44" s="163"/>
      <c r="M44" s="163"/>
      <c r="N44" s="40"/>
    </row>
    <row r="45" spans="1:14" ht="17.100000000000001" customHeight="1" x14ac:dyDescent="0.4">
      <c r="B45" s="161"/>
      <c r="C45" s="161"/>
      <c r="D45" s="161"/>
      <c r="E45" s="161"/>
      <c r="F45" s="161"/>
      <c r="G45" s="40"/>
      <c r="I45" s="162"/>
      <c r="J45" s="162"/>
      <c r="K45" s="162"/>
      <c r="L45" s="162"/>
      <c r="M45" s="162"/>
      <c r="N45" s="40"/>
    </row>
    <row r="46" spans="1:14" ht="17.100000000000001" customHeight="1" x14ac:dyDescent="0.4">
      <c r="B46" s="119" t="s">
        <v>220</v>
      </c>
      <c r="C46" s="119"/>
      <c r="D46" s="119"/>
      <c r="E46" s="119"/>
      <c r="F46" s="119"/>
      <c r="G46" s="40"/>
      <c r="I46" s="119" t="s">
        <v>220</v>
      </c>
      <c r="J46" s="119"/>
      <c r="K46" s="119"/>
      <c r="L46" s="119"/>
      <c r="M46" s="119"/>
      <c r="N46" s="40"/>
    </row>
    <row r="47" spans="1:14" ht="17.100000000000001" customHeight="1" x14ac:dyDescent="0.4">
      <c r="B47" s="40"/>
      <c r="C47" s="37"/>
      <c r="D47" s="37"/>
      <c r="E47" s="37"/>
      <c r="F47" s="37"/>
      <c r="G47" s="40"/>
      <c r="I47" s="40"/>
      <c r="J47" s="37"/>
      <c r="K47" s="37"/>
      <c r="L47" s="37"/>
      <c r="M47" s="37"/>
      <c r="N47" s="40"/>
    </row>
    <row r="48" spans="1:14" ht="17.100000000000001" customHeight="1" x14ac:dyDescent="0.4">
      <c r="B48" s="40"/>
      <c r="C48" s="37"/>
      <c r="D48" s="37"/>
      <c r="E48" s="37"/>
      <c r="F48" s="37"/>
      <c r="G48" s="40"/>
      <c r="I48" s="40"/>
      <c r="J48" s="37"/>
      <c r="K48" s="37"/>
      <c r="L48" s="37"/>
      <c r="M48" s="37"/>
      <c r="N48" s="40"/>
    </row>
    <row r="49" spans="1:14" ht="17.100000000000001" customHeight="1" x14ac:dyDescent="0.4">
      <c r="B49" s="40"/>
      <c r="C49" s="37"/>
      <c r="D49" s="37"/>
      <c r="E49" s="37"/>
      <c r="F49" s="37"/>
      <c r="G49" s="40"/>
      <c r="I49" s="40"/>
      <c r="J49" s="37"/>
      <c r="K49" s="37"/>
      <c r="L49" s="37"/>
      <c r="M49" s="37"/>
      <c r="N49" s="40"/>
    </row>
    <row r="50" spans="1:14" ht="17.100000000000001" customHeight="1" x14ac:dyDescent="0.4">
      <c r="B50" s="40"/>
      <c r="C50" s="37"/>
      <c r="D50" s="37"/>
      <c r="E50" s="37"/>
      <c r="F50" s="37"/>
      <c r="G50" s="40"/>
      <c r="I50" s="40"/>
      <c r="J50" s="37"/>
      <c r="K50" s="37"/>
      <c r="L50" s="37"/>
      <c r="M50" s="37"/>
      <c r="N50" s="40"/>
    </row>
    <row r="51" spans="1:14" ht="17.100000000000001" customHeight="1" x14ac:dyDescent="0.4">
      <c r="B51" s="40"/>
      <c r="C51" s="37"/>
      <c r="D51" s="37"/>
      <c r="E51" s="37"/>
      <c r="F51" s="37"/>
      <c r="G51" s="40"/>
      <c r="I51" s="40"/>
      <c r="J51" s="37"/>
      <c r="K51" s="37"/>
      <c r="L51" s="37"/>
      <c r="M51" s="37"/>
      <c r="N51" s="40"/>
    </row>
    <row r="52" spans="1:14" ht="17.100000000000001" customHeight="1" x14ac:dyDescent="0.4">
      <c r="B52" s="40"/>
      <c r="C52" s="37"/>
      <c r="D52" s="37"/>
      <c r="E52" s="37"/>
      <c r="F52" s="37"/>
      <c r="G52" s="40"/>
      <c r="I52" s="40"/>
      <c r="J52" s="37"/>
      <c r="K52" s="37"/>
      <c r="L52" s="37"/>
      <c r="M52" s="37"/>
      <c r="N52" s="40"/>
    </row>
    <row r="53" spans="1:14" ht="17.100000000000001" customHeight="1" x14ac:dyDescent="0.4">
      <c r="B53" s="40"/>
      <c r="C53" s="37"/>
      <c r="D53" s="37"/>
      <c r="E53" s="37"/>
      <c r="F53" s="37"/>
      <c r="G53" s="40"/>
      <c r="I53" s="40"/>
      <c r="J53" s="37"/>
      <c r="K53" s="37"/>
      <c r="L53" s="37"/>
      <c r="M53" s="37"/>
      <c r="N53" s="40"/>
    </row>
    <row r="54" spans="1:14" ht="47.25" customHeight="1" x14ac:dyDescent="0.4">
      <c r="B54" s="40"/>
      <c r="C54" s="37"/>
      <c r="D54" s="37"/>
      <c r="E54" s="37"/>
      <c r="F54" s="37"/>
      <c r="G54" s="40"/>
      <c r="I54" s="40"/>
      <c r="J54" s="37"/>
      <c r="K54" s="37"/>
      <c r="L54" s="37"/>
      <c r="M54" s="37"/>
    </row>
    <row r="55" spans="1:14" ht="21" hidden="1" customHeight="1" x14ac:dyDescent="0.4">
      <c r="B55" s="40"/>
      <c r="C55" s="37"/>
      <c r="D55" s="37"/>
      <c r="E55" s="37"/>
      <c r="F55" s="37"/>
      <c r="G55" s="40"/>
      <c r="I55" s="40"/>
      <c r="J55" s="37"/>
      <c r="K55" s="37"/>
      <c r="L55" s="37"/>
      <c r="M55" s="37"/>
      <c r="N55" s="24"/>
    </row>
    <row r="56" spans="1:14" ht="20.25" customHeight="1" x14ac:dyDescent="0.4">
      <c r="A56" s="66"/>
      <c r="B56" s="81"/>
      <c r="C56" s="76"/>
      <c r="D56" s="76"/>
      <c r="E56" s="76"/>
      <c r="F56" s="76"/>
      <c r="G56" s="66"/>
      <c r="H56" s="66"/>
      <c r="I56" s="81"/>
      <c r="J56" s="76"/>
      <c r="K56" s="76"/>
      <c r="L56" s="76"/>
      <c r="M56" s="76"/>
      <c r="N56" s="24"/>
    </row>
    <row r="57" spans="1:14" ht="45.75" customHeight="1" x14ac:dyDescent="0.4">
      <c r="A57" s="66"/>
      <c r="B57" s="180" t="s">
        <v>96</v>
      </c>
      <c r="C57" s="180"/>
      <c r="D57" s="180"/>
      <c r="E57" s="180"/>
      <c r="F57" s="180"/>
      <c r="G57" s="67"/>
      <c r="H57" s="66"/>
      <c r="I57" s="180" t="s">
        <v>96</v>
      </c>
      <c r="J57" s="180"/>
      <c r="K57" s="180"/>
      <c r="L57" s="180"/>
      <c r="M57" s="180"/>
      <c r="N57" s="24"/>
    </row>
    <row r="58" spans="1:14" ht="18" customHeight="1" x14ac:dyDescent="0.4">
      <c r="A58" s="66"/>
      <c r="B58" s="181" t="s">
        <v>97</v>
      </c>
      <c r="C58" s="181"/>
      <c r="D58" s="181"/>
      <c r="E58" s="181"/>
      <c r="F58" s="181"/>
      <c r="G58" s="67"/>
      <c r="H58" s="66"/>
      <c r="I58" s="181" t="s">
        <v>97</v>
      </c>
      <c r="J58" s="181"/>
      <c r="K58" s="181"/>
      <c r="L58" s="181"/>
      <c r="M58" s="181"/>
    </row>
    <row r="59" spans="1:14" ht="18" customHeight="1" x14ac:dyDescent="0.4">
      <c r="A59" s="66"/>
      <c r="B59" s="181" t="s">
        <v>98</v>
      </c>
      <c r="C59" s="181"/>
      <c r="D59" s="181"/>
      <c r="E59" s="181"/>
      <c r="F59" s="181"/>
      <c r="G59" s="67"/>
      <c r="H59" s="66"/>
      <c r="I59" s="181" t="s">
        <v>98</v>
      </c>
      <c r="J59" s="181"/>
      <c r="K59" s="181"/>
      <c r="L59" s="181"/>
      <c r="M59" s="181"/>
    </row>
    <row r="60" spans="1:14" ht="18" customHeight="1" x14ac:dyDescent="0.4">
      <c r="A60" s="66"/>
      <c r="B60" s="181" t="s">
        <v>221</v>
      </c>
      <c r="C60" s="181"/>
      <c r="D60" s="181"/>
      <c r="E60" s="181"/>
      <c r="F60" s="181"/>
      <c r="G60" s="66"/>
      <c r="H60" s="66"/>
      <c r="I60" s="186" t="s">
        <v>221</v>
      </c>
      <c r="J60" s="186"/>
      <c r="K60" s="186"/>
      <c r="L60" s="186"/>
      <c r="M60" s="186"/>
    </row>
    <row r="61" spans="1:14" ht="18" customHeight="1" x14ac:dyDescent="0.4">
      <c r="A61" s="66"/>
      <c r="B61" s="174" t="s">
        <v>100</v>
      </c>
      <c r="C61" s="175"/>
      <c r="D61" s="175"/>
      <c r="E61" s="175"/>
      <c r="F61" s="176"/>
      <c r="G61" s="66"/>
      <c r="H61" s="66"/>
      <c r="I61" s="174" t="s">
        <v>100</v>
      </c>
      <c r="J61" s="175"/>
      <c r="K61" s="175"/>
      <c r="L61" s="175"/>
      <c r="M61" s="176"/>
    </row>
    <row r="62" spans="1:14" x14ac:dyDescent="0.4">
      <c r="A62" s="66"/>
      <c r="B62" s="177" t="s">
        <v>101</v>
      </c>
      <c r="C62" s="178"/>
      <c r="D62" s="178"/>
      <c r="E62" s="178"/>
      <c r="F62" s="179"/>
      <c r="G62" s="66"/>
      <c r="H62" s="66"/>
      <c r="I62" s="177" t="s">
        <v>101</v>
      </c>
      <c r="J62" s="178"/>
      <c r="K62" s="178"/>
      <c r="L62" s="178"/>
      <c r="M62" s="179"/>
    </row>
    <row r="63" spans="1:14" x14ac:dyDescent="0.4">
      <c r="A63" s="66"/>
      <c r="B63" s="166" t="s">
        <v>253</v>
      </c>
      <c r="C63" s="167"/>
      <c r="D63" s="167"/>
      <c r="E63" s="167"/>
      <c r="F63" s="78">
        <v>2000</v>
      </c>
      <c r="G63" s="66"/>
      <c r="H63" s="66"/>
      <c r="I63" s="166" t="s">
        <v>253</v>
      </c>
      <c r="J63" s="167"/>
      <c r="K63" s="167"/>
      <c r="L63" s="167"/>
      <c r="M63" s="78">
        <v>2000</v>
      </c>
    </row>
    <row r="64" spans="1:14" ht="18" customHeight="1" x14ac:dyDescent="0.4">
      <c r="A64" s="66"/>
      <c r="B64" s="184" t="s">
        <v>222</v>
      </c>
      <c r="C64" s="185"/>
      <c r="D64" s="185"/>
      <c r="E64" s="185"/>
      <c r="F64" s="68">
        <v>335.51</v>
      </c>
      <c r="G64" s="66"/>
      <c r="H64" s="66"/>
      <c r="I64" s="184" t="s">
        <v>222</v>
      </c>
      <c r="J64" s="185"/>
      <c r="K64" s="185"/>
      <c r="L64" s="185"/>
      <c r="M64" s="68">
        <v>335.51</v>
      </c>
    </row>
    <row r="65" spans="1:14" ht="18" customHeight="1" x14ac:dyDescent="0.4">
      <c r="A65" s="66"/>
      <c r="B65" s="184" t="s">
        <v>106</v>
      </c>
      <c r="C65" s="185"/>
      <c r="D65" s="185"/>
      <c r="E65" s="185"/>
      <c r="F65" s="68">
        <v>31.49</v>
      </c>
      <c r="G65" s="66"/>
      <c r="H65" s="66"/>
      <c r="I65" s="184" t="s">
        <v>106</v>
      </c>
      <c r="J65" s="185"/>
      <c r="K65" s="185"/>
      <c r="L65" s="185"/>
      <c r="M65" s="68">
        <v>31.49</v>
      </c>
    </row>
    <row r="66" spans="1:14" ht="18" customHeight="1" x14ac:dyDescent="0.4">
      <c r="A66" s="66"/>
      <c r="B66" s="184" t="s">
        <v>223</v>
      </c>
      <c r="C66" s="185"/>
      <c r="D66" s="185"/>
      <c r="E66" s="185"/>
      <c r="F66" s="78">
        <v>0</v>
      </c>
      <c r="G66" s="66"/>
      <c r="H66" s="66"/>
      <c r="I66" s="184" t="s">
        <v>223</v>
      </c>
      <c r="J66" s="185"/>
      <c r="K66" s="185"/>
      <c r="L66" s="185"/>
      <c r="M66" s="78">
        <v>0</v>
      </c>
    </row>
    <row r="67" spans="1:14" ht="18" customHeight="1" x14ac:dyDescent="0.4">
      <c r="A67" s="66"/>
      <c r="B67" s="172" t="s">
        <v>107</v>
      </c>
      <c r="C67" s="173"/>
      <c r="D67" s="173"/>
      <c r="E67" s="173"/>
      <c r="F67" s="69"/>
      <c r="G67" s="66"/>
      <c r="H67" s="66"/>
      <c r="I67" s="172" t="s">
        <v>107</v>
      </c>
      <c r="J67" s="173"/>
      <c r="K67" s="173"/>
      <c r="L67" s="173"/>
      <c r="M67" s="69"/>
    </row>
    <row r="68" spans="1:14" ht="21.75" customHeight="1" x14ac:dyDescent="0.4">
      <c r="A68" s="66"/>
      <c r="B68" s="166" t="s">
        <v>109</v>
      </c>
      <c r="C68" s="167"/>
      <c r="D68" s="167"/>
      <c r="E68" s="167"/>
      <c r="F68" s="68">
        <v>123.52</v>
      </c>
      <c r="G68" s="66"/>
      <c r="H68" s="66"/>
      <c r="I68" s="166" t="s">
        <v>109</v>
      </c>
      <c r="J68" s="167"/>
      <c r="K68" s="167"/>
      <c r="L68" s="167"/>
      <c r="M68" s="68">
        <v>123.52</v>
      </c>
      <c r="N68" s="39"/>
    </row>
    <row r="69" spans="1:14" ht="27.75" customHeight="1" x14ac:dyDescent="0.3">
      <c r="A69" s="66"/>
      <c r="B69" s="166" t="s">
        <v>224</v>
      </c>
      <c r="C69" s="167"/>
      <c r="D69" s="167"/>
      <c r="E69" s="167"/>
      <c r="F69" s="68">
        <v>0</v>
      </c>
      <c r="G69" s="66"/>
      <c r="H69" s="66"/>
      <c r="I69" s="166" t="s">
        <v>224</v>
      </c>
      <c r="J69" s="167"/>
      <c r="K69" s="167"/>
      <c r="L69" s="167"/>
      <c r="M69" s="68">
        <v>0</v>
      </c>
      <c r="N69" s="34"/>
    </row>
    <row r="70" spans="1:14" ht="22.5" customHeight="1" x14ac:dyDescent="0.4">
      <c r="A70" s="66"/>
      <c r="B70" s="166" t="s">
        <v>225</v>
      </c>
      <c r="C70" s="167"/>
      <c r="D70" s="167"/>
      <c r="E70" s="167"/>
      <c r="F70" s="68">
        <v>750</v>
      </c>
      <c r="G70" s="66"/>
      <c r="H70" s="66"/>
      <c r="I70" s="166" t="s">
        <v>225</v>
      </c>
      <c r="J70" s="167"/>
      <c r="K70" s="167"/>
      <c r="L70" s="167"/>
      <c r="M70" s="68">
        <v>750</v>
      </c>
      <c r="N70" s="35"/>
    </row>
    <row r="71" spans="1:14" ht="30.75" customHeight="1" x14ac:dyDescent="0.4">
      <c r="A71" s="66"/>
      <c r="B71" s="182" t="s">
        <v>112</v>
      </c>
      <c r="C71" s="183"/>
      <c r="D71" s="183"/>
      <c r="E71" s="183"/>
      <c r="F71" s="70">
        <f>SUM(F63:F66)-SUM(F68:F70)</f>
        <v>1493.48</v>
      </c>
      <c r="G71" s="80"/>
      <c r="H71" s="66"/>
      <c r="I71" s="182" t="s">
        <v>112</v>
      </c>
      <c r="J71" s="183"/>
      <c r="K71" s="183"/>
      <c r="L71" s="183"/>
      <c r="M71" s="70">
        <f>SUM(M63:M66)-SUM(M68:M70)</f>
        <v>1493.48</v>
      </c>
      <c r="N71" s="36"/>
    </row>
    <row r="72" spans="1:14" ht="58.5" customHeight="1" x14ac:dyDescent="0.3">
      <c r="A72" s="66"/>
      <c r="B72" s="170" t="s">
        <v>259</v>
      </c>
      <c r="C72" s="170"/>
      <c r="D72" s="170"/>
      <c r="E72" s="170"/>
      <c r="F72" s="170"/>
      <c r="G72" s="74"/>
      <c r="H72" s="66"/>
      <c r="I72" s="171" t="s">
        <v>259</v>
      </c>
      <c r="J72" s="171"/>
      <c r="K72" s="171"/>
      <c r="L72" s="171"/>
      <c r="M72" s="171"/>
      <c r="N72" s="36"/>
    </row>
    <row r="73" spans="1:14" ht="31.5" customHeight="1" x14ac:dyDescent="0.4">
      <c r="A73" s="66"/>
      <c r="B73" s="163" t="s">
        <v>114</v>
      </c>
      <c r="C73" s="163"/>
      <c r="D73" s="163"/>
      <c r="E73" s="163"/>
      <c r="F73" s="163"/>
      <c r="G73" s="75"/>
      <c r="H73" s="66"/>
      <c r="I73" s="163" t="s">
        <v>114</v>
      </c>
      <c r="J73" s="163"/>
      <c r="K73" s="163"/>
      <c r="L73" s="163"/>
      <c r="M73" s="163"/>
      <c r="N73" s="36"/>
    </row>
    <row r="74" spans="1:14" ht="17.100000000000001" customHeight="1" x14ac:dyDescent="0.4">
      <c r="A74" s="66"/>
      <c r="B74" s="163"/>
      <c r="C74" s="163"/>
      <c r="D74" s="163"/>
      <c r="E74" s="163"/>
      <c r="F74" s="163"/>
      <c r="G74" s="77"/>
      <c r="H74" s="66"/>
      <c r="I74" s="163"/>
      <c r="J74" s="163"/>
      <c r="K74" s="163"/>
      <c r="L74" s="163"/>
      <c r="M74" s="163"/>
      <c r="N74" s="36"/>
    </row>
    <row r="75" spans="1:14" ht="17.100000000000001" customHeight="1" x14ac:dyDescent="0.4">
      <c r="A75" s="66"/>
      <c r="B75" s="164" t="s">
        <v>227</v>
      </c>
      <c r="C75" s="164"/>
      <c r="D75" s="164"/>
      <c r="E75" s="164"/>
      <c r="F75" s="164"/>
      <c r="G75" s="77"/>
      <c r="H75" s="66"/>
      <c r="I75" s="164" t="s">
        <v>227</v>
      </c>
      <c r="J75" s="164"/>
      <c r="K75" s="164"/>
      <c r="L75" s="164"/>
      <c r="M75" s="164"/>
      <c r="N75" s="36"/>
    </row>
    <row r="76" spans="1:14" ht="17.100000000000001" customHeight="1" x14ac:dyDescent="0.4">
      <c r="B76" s="36"/>
      <c r="C76" s="37"/>
      <c r="D76" s="37"/>
      <c r="E76" s="37"/>
      <c r="F76" s="37"/>
      <c r="G76" s="36"/>
      <c r="I76" s="36"/>
      <c r="J76" s="37"/>
      <c r="K76" s="37"/>
      <c r="L76" s="37"/>
      <c r="M76" s="37"/>
      <c r="N76" s="36"/>
    </row>
    <row r="77" spans="1:14" ht="17.100000000000001" customHeight="1" x14ac:dyDescent="0.4">
      <c r="B77" s="36"/>
      <c r="C77" s="37"/>
      <c r="D77" s="37"/>
      <c r="E77" s="37"/>
      <c r="F77" s="37"/>
      <c r="G77" s="36"/>
      <c r="I77" s="36"/>
      <c r="J77" s="37"/>
      <c r="K77" s="37"/>
      <c r="L77" s="37"/>
      <c r="M77" s="37"/>
      <c r="N77" s="36"/>
    </row>
    <row r="78" spans="1:14" ht="17.100000000000001" customHeight="1" x14ac:dyDescent="0.4">
      <c r="B78" s="36"/>
      <c r="C78" s="37"/>
      <c r="D78" s="37"/>
      <c r="E78" s="37"/>
      <c r="F78" s="37"/>
      <c r="G78" s="36"/>
      <c r="I78" s="36"/>
      <c r="J78" s="37"/>
      <c r="K78" s="37"/>
      <c r="L78" s="37"/>
      <c r="M78" s="37"/>
      <c r="N78" s="36"/>
    </row>
    <row r="79" spans="1:14" ht="47.25" customHeight="1" x14ac:dyDescent="0.4">
      <c r="B79" s="36"/>
      <c r="C79" s="37"/>
      <c r="D79" s="37"/>
      <c r="E79" s="37"/>
      <c r="F79" s="37"/>
      <c r="G79" s="36"/>
      <c r="I79" s="36"/>
      <c r="J79" s="37"/>
      <c r="K79" s="37"/>
      <c r="L79" s="37"/>
      <c r="M79" s="37"/>
    </row>
    <row r="80" spans="1:14" ht="21" customHeight="1" x14ac:dyDescent="0.4">
      <c r="B80" s="36"/>
      <c r="C80" s="37"/>
      <c r="D80" s="37"/>
      <c r="E80" s="37"/>
      <c r="F80" s="37"/>
      <c r="G80" s="36"/>
      <c r="I80" s="36"/>
      <c r="J80" s="37"/>
      <c r="K80" s="37"/>
      <c r="L80" s="37"/>
      <c r="M80" s="37"/>
      <c r="N80" s="24"/>
    </row>
    <row r="81" spans="2:16" ht="21" customHeight="1" x14ac:dyDescent="0.4">
      <c r="B81" s="36"/>
      <c r="C81" s="37"/>
      <c r="D81" s="37"/>
      <c r="E81" s="37"/>
      <c r="F81" s="37"/>
      <c r="G81" s="36"/>
      <c r="I81" s="36"/>
      <c r="J81" s="37"/>
      <c r="K81" s="37"/>
      <c r="L81" s="37"/>
      <c r="M81" s="37"/>
      <c r="N81" s="24"/>
    </row>
    <row r="82" spans="2:16" ht="21" customHeight="1" x14ac:dyDescent="0.4">
      <c r="B82" s="77"/>
      <c r="C82" s="76"/>
      <c r="D82" s="76"/>
      <c r="E82" s="76"/>
      <c r="F82" s="76"/>
      <c r="G82" s="66"/>
      <c r="H82" s="66"/>
      <c r="I82" s="77"/>
      <c r="J82" s="76"/>
      <c r="K82" s="76"/>
      <c r="L82" s="76"/>
      <c r="M82" s="76"/>
      <c r="N82" s="24"/>
    </row>
    <row r="83" spans="2:16" ht="65.25" customHeight="1" x14ac:dyDescent="0.4">
      <c r="B83" s="180" t="s">
        <v>96</v>
      </c>
      <c r="C83" s="180"/>
      <c r="D83" s="180"/>
      <c r="E83" s="180"/>
      <c r="F83" s="180"/>
      <c r="G83" s="67"/>
      <c r="H83" s="66"/>
      <c r="I83" s="180" t="s">
        <v>96</v>
      </c>
      <c r="J83" s="180"/>
      <c r="K83" s="180"/>
      <c r="L83" s="180"/>
      <c r="M83" s="180"/>
      <c r="N83" s="32"/>
    </row>
    <row r="84" spans="2:16" ht="18" customHeight="1" x14ac:dyDescent="0.4">
      <c r="B84" s="181" t="s">
        <v>97</v>
      </c>
      <c r="C84" s="181"/>
      <c r="D84" s="181"/>
      <c r="E84" s="181"/>
      <c r="F84" s="181"/>
      <c r="G84" s="67"/>
      <c r="H84" s="66"/>
      <c r="I84" s="181" t="s">
        <v>97</v>
      </c>
      <c r="J84" s="181"/>
      <c r="K84" s="181"/>
      <c r="L84" s="181"/>
      <c r="M84" s="181"/>
      <c r="N84" s="32"/>
      <c r="O84" s="21"/>
    </row>
    <row r="85" spans="2:16" ht="18" customHeight="1" x14ac:dyDescent="0.4">
      <c r="B85" s="181" t="s">
        <v>98</v>
      </c>
      <c r="C85" s="181"/>
      <c r="D85" s="181"/>
      <c r="E85" s="181"/>
      <c r="F85" s="181"/>
      <c r="G85" s="67"/>
      <c r="H85" s="66"/>
      <c r="I85" s="181" t="s">
        <v>98</v>
      </c>
      <c r="J85" s="181"/>
      <c r="K85" s="181"/>
      <c r="L85" s="181"/>
      <c r="M85" s="181"/>
      <c r="P85" s="21">
        <f>M89+M90</f>
        <v>1621</v>
      </c>
    </row>
    <row r="86" spans="2:16" ht="18" customHeight="1" x14ac:dyDescent="0.4">
      <c r="B86" s="181" t="s">
        <v>228</v>
      </c>
      <c r="C86" s="181"/>
      <c r="D86" s="181"/>
      <c r="E86" s="181"/>
      <c r="F86" s="181"/>
      <c r="G86" s="72"/>
      <c r="H86" s="66"/>
      <c r="I86" s="181" t="s">
        <v>228</v>
      </c>
      <c r="J86" s="181"/>
      <c r="K86" s="181"/>
      <c r="L86" s="181"/>
      <c r="M86" s="181"/>
    </row>
    <row r="87" spans="2:16" x14ac:dyDescent="0.4">
      <c r="B87" s="174" t="s">
        <v>100</v>
      </c>
      <c r="C87" s="175"/>
      <c r="D87" s="175"/>
      <c r="E87" s="175"/>
      <c r="F87" s="176"/>
      <c r="G87" s="72"/>
      <c r="H87" s="66"/>
      <c r="I87" s="174" t="s">
        <v>100</v>
      </c>
      <c r="J87" s="175"/>
      <c r="K87" s="175"/>
      <c r="L87" s="175"/>
      <c r="M87" s="176"/>
    </row>
    <row r="88" spans="2:16" ht="18" customHeight="1" x14ac:dyDescent="0.4">
      <c r="B88" s="177" t="s">
        <v>101</v>
      </c>
      <c r="C88" s="178"/>
      <c r="D88" s="178"/>
      <c r="E88" s="178"/>
      <c r="F88" s="179"/>
      <c r="G88" s="66"/>
      <c r="H88" s="66"/>
      <c r="I88" s="177" t="s">
        <v>101</v>
      </c>
      <c r="J88" s="178"/>
      <c r="K88" s="178"/>
      <c r="L88" s="178"/>
      <c r="M88" s="179"/>
    </row>
    <row r="89" spans="2:16" ht="18" customHeight="1" x14ac:dyDescent="0.4">
      <c r="B89" s="166" t="s">
        <v>253</v>
      </c>
      <c r="C89" s="167"/>
      <c r="D89" s="167"/>
      <c r="E89" s="167"/>
      <c r="F89" s="78">
        <v>1621</v>
      </c>
      <c r="G89" s="66"/>
      <c r="H89" s="66"/>
      <c r="I89" s="166" t="s">
        <v>253</v>
      </c>
      <c r="J89" s="167"/>
      <c r="K89" s="167"/>
      <c r="L89" s="167"/>
      <c r="M89" s="78">
        <v>1621</v>
      </c>
    </row>
    <row r="90" spans="2:16" ht="18" customHeight="1" x14ac:dyDescent="0.4">
      <c r="B90" s="184" t="s">
        <v>229</v>
      </c>
      <c r="C90" s="185"/>
      <c r="D90" s="185"/>
      <c r="E90" s="185"/>
      <c r="F90" s="78">
        <v>0</v>
      </c>
      <c r="G90" s="66"/>
      <c r="H90" s="66"/>
      <c r="I90" s="184" t="s">
        <v>229</v>
      </c>
      <c r="J90" s="185"/>
      <c r="K90" s="185"/>
      <c r="L90" s="185"/>
      <c r="M90" s="78">
        <v>0</v>
      </c>
    </row>
    <row r="91" spans="2:16" ht="24.75" customHeight="1" x14ac:dyDescent="0.4">
      <c r="B91" s="184" t="s">
        <v>106</v>
      </c>
      <c r="C91" s="185"/>
      <c r="D91" s="185"/>
      <c r="E91" s="185"/>
      <c r="F91" s="68">
        <v>18.420000000000002</v>
      </c>
      <c r="G91" s="66"/>
      <c r="H91" s="66"/>
      <c r="I91" s="184" t="s">
        <v>106</v>
      </c>
      <c r="J91" s="185"/>
      <c r="K91" s="185"/>
      <c r="L91" s="185"/>
      <c r="M91" s="68">
        <v>18.420000000000002</v>
      </c>
      <c r="N91" s="39"/>
    </row>
    <row r="92" spans="2:16" ht="22.5" customHeight="1" x14ac:dyDescent="0.3">
      <c r="B92" s="172" t="s">
        <v>107</v>
      </c>
      <c r="C92" s="173"/>
      <c r="D92" s="173"/>
      <c r="E92" s="173"/>
      <c r="F92" s="69"/>
      <c r="G92" s="66"/>
      <c r="H92" s="66"/>
      <c r="I92" s="172" t="s">
        <v>107</v>
      </c>
      <c r="J92" s="173"/>
      <c r="K92" s="173"/>
      <c r="L92" s="173"/>
      <c r="M92" s="69"/>
      <c r="N92" s="34"/>
    </row>
    <row r="93" spans="2:16" ht="27" customHeight="1" x14ac:dyDescent="0.4">
      <c r="B93" s="166" t="s">
        <v>225</v>
      </c>
      <c r="C93" s="167"/>
      <c r="D93" s="167"/>
      <c r="E93" s="167"/>
      <c r="F93" s="68">
        <v>500</v>
      </c>
      <c r="G93" s="66"/>
      <c r="H93" s="66"/>
      <c r="I93" s="166" t="s">
        <v>225</v>
      </c>
      <c r="J93" s="167"/>
      <c r="K93" s="167"/>
      <c r="L93" s="167"/>
      <c r="M93" s="68">
        <v>500</v>
      </c>
      <c r="N93" s="35"/>
    </row>
    <row r="94" spans="2:16" ht="17.100000000000001" customHeight="1" x14ac:dyDescent="0.4">
      <c r="B94" s="182" t="s">
        <v>112</v>
      </c>
      <c r="C94" s="183"/>
      <c r="D94" s="183"/>
      <c r="E94" s="183"/>
      <c r="F94" s="70">
        <f>SUM(F89:F91)-SUM(F93)</f>
        <v>1139.42</v>
      </c>
      <c r="G94" s="80"/>
      <c r="H94" s="66"/>
      <c r="I94" s="182" t="s">
        <v>112</v>
      </c>
      <c r="J94" s="183"/>
      <c r="K94" s="183"/>
      <c r="L94" s="183"/>
      <c r="M94" s="70">
        <f>SUM(M89:M91)-SUM(M93)</f>
        <v>1139.42</v>
      </c>
      <c r="N94" s="40"/>
    </row>
    <row r="95" spans="2:16" ht="47.25" customHeight="1" x14ac:dyDescent="0.3">
      <c r="B95" s="170" t="s">
        <v>260</v>
      </c>
      <c r="C95" s="170"/>
      <c r="D95" s="170"/>
      <c r="E95" s="170"/>
      <c r="F95" s="170"/>
      <c r="G95" s="74"/>
      <c r="H95" s="66"/>
      <c r="I95" s="171" t="s">
        <v>260</v>
      </c>
      <c r="J95" s="171"/>
      <c r="K95" s="171"/>
      <c r="L95" s="171"/>
      <c r="M95" s="171"/>
      <c r="N95" s="40"/>
    </row>
    <row r="96" spans="2:16" ht="17.100000000000001" customHeight="1" x14ac:dyDescent="0.4">
      <c r="B96" s="163" t="s">
        <v>114</v>
      </c>
      <c r="C96" s="163"/>
      <c r="D96" s="163"/>
      <c r="E96" s="163"/>
      <c r="F96" s="163"/>
      <c r="G96" s="75"/>
      <c r="H96" s="66"/>
      <c r="I96" s="163" t="s">
        <v>114</v>
      </c>
      <c r="J96" s="163"/>
      <c r="K96" s="163"/>
      <c r="L96" s="163"/>
      <c r="M96" s="163"/>
      <c r="N96" s="40"/>
    </row>
    <row r="97" spans="2:14" ht="17.100000000000001" customHeight="1" x14ac:dyDescent="0.4">
      <c r="B97" s="163"/>
      <c r="C97" s="163"/>
      <c r="D97" s="163"/>
      <c r="E97" s="163"/>
      <c r="F97" s="163"/>
      <c r="G97" s="81"/>
      <c r="H97" s="66"/>
      <c r="I97" s="163"/>
      <c r="J97" s="163"/>
      <c r="K97" s="163"/>
      <c r="L97" s="163"/>
      <c r="M97" s="163"/>
      <c r="N97" s="40"/>
    </row>
    <row r="98" spans="2:14" ht="17.100000000000001" customHeight="1" x14ac:dyDescent="0.4">
      <c r="B98" s="164" t="s">
        <v>231</v>
      </c>
      <c r="C98" s="164"/>
      <c r="D98" s="164"/>
      <c r="E98" s="164"/>
      <c r="F98" s="164"/>
      <c r="G98" s="81"/>
      <c r="H98" s="66"/>
      <c r="I98" s="164" t="s">
        <v>231</v>
      </c>
      <c r="J98" s="164"/>
      <c r="K98" s="164"/>
      <c r="L98" s="164"/>
      <c r="M98" s="164"/>
      <c r="N98" s="40"/>
    </row>
    <row r="99" spans="2:14" ht="17.100000000000001" customHeight="1" x14ac:dyDescent="0.4">
      <c r="B99" s="44"/>
      <c r="C99" s="44"/>
      <c r="D99" s="44"/>
      <c r="E99" s="44"/>
      <c r="F99" s="44"/>
      <c r="G99" s="40"/>
      <c r="I99" s="44"/>
      <c r="J99" s="44"/>
      <c r="K99" s="44"/>
      <c r="L99" s="44"/>
      <c r="M99" s="44"/>
      <c r="N99" s="40"/>
    </row>
    <row r="100" spans="2:14" ht="17.100000000000001" customHeight="1" x14ac:dyDescent="0.4">
      <c r="B100" s="44"/>
      <c r="C100" s="44"/>
      <c r="D100" s="44"/>
      <c r="E100" s="44"/>
      <c r="F100" s="44"/>
      <c r="G100" s="40"/>
      <c r="I100" s="44"/>
      <c r="J100" s="44"/>
      <c r="K100" s="44"/>
      <c r="L100" s="44"/>
      <c r="M100" s="44"/>
      <c r="N100" s="40"/>
    </row>
    <row r="101" spans="2:14" ht="17.100000000000001" customHeight="1" x14ac:dyDescent="0.4">
      <c r="B101" s="44"/>
      <c r="C101" s="44"/>
      <c r="D101" s="44"/>
      <c r="E101" s="44"/>
      <c r="F101" s="44"/>
      <c r="G101" s="40"/>
      <c r="I101" s="44"/>
      <c r="J101" s="44"/>
      <c r="K101" s="44"/>
      <c r="L101" s="44"/>
      <c r="M101" s="44"/>
      <c r="N101" s="40"/>
    </row>
    <row r="102" spans="2:14" ht="17.100000000000001" customHeight="1" x14ac:dyDescent="0.4">
      <c r="B102" s="44"/>
      <c r="C102" s="44"/>
      <c r="D102" s="44"/>
      <c r="E102" s="44"/>
      <c r="F102" s="44"/>
      <c r="G102" s="40"/>
      <c r="I102" s="44"/>
      <c r="J102" s="44"/>
      <c r="K102" s="44"/>
      <c r="L102" s="44"/>
      <c r="M102" s="44"/>
      <c r="N102" s="40"/>
    </row>
    <row r="103" spans="2:14" ht="17.100000000000001" customHeight="1" x14ac:dyDescent="0.4">
      <c r="B103" s="44"/>
      <c r="C103" s="44"/>
      <c r="D103" s="44"/>
      <c r="E103" s="44"/>
      <c r="F103" s="44"/>
      <c r="G103" s="40"/>
      <c r="I103" s="44"/>
      <c r="J103" s="44"/>
      <c r="K103" s="44"/>
      <c r="L103" s="44"/>
      <c r="M103" s="44"/>
      <c r="N103" s="40"/>
    </row>
    <row r="104" spans="2:14" ht="43.5" customHeight="1" x14ac:dyDescent="0.4">
      <c r="B104" s="44"/>
      <c r="C104" s="44"/>
      <c r="D104" s="44"/>
      <c r="E104" s="44"/>
      <c r="F104" s="44"/>
      <c r="G104" s="40"/>
      <c r="I104" s="44"/>
      <c r="J104" s="44"/>
      <c r="K104" s="44"/>
      <c r="L104" s="44"/>
      <c r="M104" s="44"/>
    </row>
    <row r="105" spans="2:14" ht="21" customHeight="1" x14ac:dyDescent="0.4">
      <c r="B105" s="44"/>
      <c r="C105" s="44"/>
      <c r="D105" s="44"/>
      <c r="E105" s="44"/>
      <c r="F105" s="44"/>
      <c r="G105" s="40"/>
      <c r="I105" s="44"/>
      <c r="J105" s="44"/>
      <c r="K105" s="44"/>
      <c r="L105" s="44"/>
      <c r="M105" s="44"/>
      <c r="N105" s="24"/>
    </row>
    <row r="106" spans="2:14" ht="18.75" customHeight="1" x14ac:dyDescent="0.4">
      <c r="B106" s="44"/>
      <c r="C106" s="44"/>
      <c r="D106" s="44"/>
      <c r="E106" s="44"/>
      <c r="F106" s="44"/>
      <c r="G106" s="40"/>
      <c r="I106" s="44"/>
      <c r="J106" s="44"/>
      <c r="K106" s="44"/>
      <c r="L106" s="44"/>
      <c r="M106" s="44"/>
      <c r="N106" s="24"/>
    </row>
    <row r="107" spans="2:14" ht="21" hidden="1" customHeight="1" x14ac:dyDescent="0.4">
      <c r="B107" s="44"/>
      <c r="C107" s="44"/>
      <c r="D107" s="44"/>
      <c r="E107" s="44"/>
      <c r="F107" s="44"/>
      <c r="I107" s="44"/>
      <c r="J107" s="44"/>
      <c r="K107" s="44"/>
      <c r="L107" s="44"/>
      <c r="M107" s="44"/>
      <c r="N107" s="24"/>
    </row>
    <row r="108" spans="2:14" ht="51.75" customHeight="1" x14ac:dyDescent="0.4">
      <c r="B108" s="180" t="s">
        <v>96</v>
      </c>
      <c r="C108" s="180"/>
      <c r="D108" s="180"/>
      <c r="E108" s="180"/>
      <c r="F108" s="180"/>
      <c r="G108" s="67"/>
      <c r="H108" s="66"/>
      <c r="I108" s="180" t="s">
        <v>96</v>
      </c>
      <c r="J108" s="180"/>
      <c r="K108" s="180"/>
      <c r="L108" s="180"/>
      <c r="M108" s="180"/>
      <c r="N108" s="32"/>
    </row>
    <row r="109" spans="2:14" ht="18" customHeight="1" x14ac:dyDescent="0.4">
      <c r="B109" s="181" t="s">
        <v>97</v>
      </c>
      <c r="C109" s="181"/>
      <c r="D109" s="181"/>
      <c r="E109" s="181"/>
      <c r="F109" s="181"/>
      <c r="G109" s="67"/>
      <c r="H109" s="66"/>
      <c r="I109" s="181" t="s">
        <v>97</v>
      </c>
      <c r="J109" s="181"/>
      <c r="K109" s="181"/>
      <c r="L109" s="181"/>
      <c r="M109" s="181"/>
      <c r="N109" s="32"/>
    </row>
    <row r="110" spans="2:14" ht="18" customHeight="1" x14ac:dyDescent="0.4">
      <c r="B110" s="181" t="s">
        <v>98</v>
      </c>
      <c r="C110" s="181"/>
      <c r="D110" s="181"/>
      <c r="E110" s="181"/>
      <c r="F110" s="181"/>
      <c r="G110" s="67"/>
      <c r="H110" s="66"/>
      <c r="I110" s="181" t="s">
        <v>98</v>
      </c>
      <c r="J110" s="181"/>
      <c r="K110" s="181"/>
      <c r="L110" s="181"/>
      <c r="M110" s="181"/>
    </row>
    <row r="111" spans="2:14" ht="18" customHeight="1" x14ac:dyDescent="0.4">
      <c r="B111" s="181" t="s">
        <v>232</v>
      </c>
      <c r="C111" s="181"/>
      <c r="D111" s="181"/>
      <c r="E111" s="181"/>
      <c r="F111" s="181"/>
      <c r="G111" s="72"/>
      <c r="H111" s="66"/>
      <c r="I111" s="181" t="s">
        <v>233</v>
      </c>
      <c r="J111" s="181"/>
      <c r="K111" s="181"/>
      <c r="L111" s="181"/>
      <c r="M111" s="181"/>
    </row>
    <row r="112" spans="2:14" ht="18" customHeight="1" x14ac:dyDescent="0.4">
      <c r="B112" s="174" t="s">
        <v>100</v>
      </c>
      <c r="C112" s="175"/>
      <c r="D112" s="175"/>
      <c r="E112" s="175"/>
      <c r="F112" s="176"/>
      <c r="G112" s="72"/>
      <c r="H112" s="66"/>
      <c r="I112" s="174" t="s">
        <v>100</v>
      </c>
      <c r="J112" s="175"/>
      <c r="K112" s="175"/>
      <c r="L112" s="175"/>
      <c r="M112" s="176"/>
    </row>
    <row r="113" spans="2:14" ht="18" customHeight="1" x14ac:dyDescent="0.4">
      <c r="B113" s="177" t="s">
        <v>101</v>
      </c>
      <c r="C113" s="178"/>
      <c r="D113" s="178"/>
      <c r="E113" s="178"/>
      <c r="F113" s="179"/>
      <c r="G113" s="66"/>
      <c r="H113" s="66"/>
      <c r="I113" s="177" t="s">
        <v>101</v>
      </c>
      <c r="J113" s="178"/>
      <c r="K113" s="178"/>
      <c r="L113" s="178"/>
      <c r="M113" s="179"/>
    </row>
    <row r="114" spans="2:14" ht="18" customHeight="1" x14ac:dyDescent="0.4">
      <c r="B114" s="166" t="s">
        <v>253</v>
      </c>
      <c r="C114" s="167"/>
      <c r="D114" s="167"/>
      <c r="E114" s="167"/>
      <c r="F114" s="68">
        <v>4000</v>
      </c>
      <c r="G114" s="66"/>
      <c r="H114" s="66"/>
      <c r="I114" s="166" t="s">
        <v>253</v>
      </c>
      <c r="J114" s="167"/>
      <c r="K114" s="167"/>
      <c r="L114" s="167"/>
      <c r="M114" s="68">
        <v>4000</v>
      </c>
    </row>
    <row r="115" spans="2:14" ht="18" customHeight="1" x14ac:dyDescent="0.4">
      <c r="B115" s="166" t="s">
        <v>146</v>
      </c>
      <c r="C115" s="167"/>
      <c r="D115" s="167"/>
      <c r="E115" s="167"/>
      <c r="F115" s="68">
        <v>668.72</v>
      </c>
      <c r="G115" s="66"/>
      <c r="H115" s="66"/>
      <c r="I115" s="166" t="s">
        <v>146</v>
      </c>
      <c r="J115" s="167"/>
      <c r="K115" s="167"/>
      <c r="L115" s="167"/>
      <c r="M115" s="68">
        <v>668.72</v>
      </c>
    </row>
    <row r="116" spans="2:14" ht="18" customHeight="1" x14ac:dyDescent="0.4">
      <c r="B116" s="166" t="s">
        <v>229</v>
      </c>
      <c r="C116" s="167"/>
      <c r="D116" s="167"/>
      <c r="E116" s="167"/>
      <c r="F116" s="68"/>
      <c r="G116" s="66"/>
      <c r="H116" s="66"/>
      <c r="I116" s="166" t="s">
        <v>229</v>
      </c>
      <c r="J116" s="167"/>
      <c r="K116" s="167"/>
      <c r="L116" s="167"/>
      <c r="M116" s="68"/>
    </row>
    <row r="117" spans="2:14" ht="18" customHeight="1" x14ac:dyDescent="0.4">
      <c r="B117" s="166"/>
      <c r="C117" s="167"/>
      <c r="D117" s="167"/>
      <c r="E117" s="167"/>
      <c r="F117" s="68"/>
      <c r="G117" s="66"/>
      <c r="H117" s="66"/>
      <c r="I117" s="166"/>
      <c r="J117" s="167"/>
      <c r="K117" s="167"/>
      <c r="L117" s="167"/>
      <c r="M117" s="68"/>
    </row>
    <row r="118" spans="2:14" ht="18" customHeight="1" x14ac:dyDescent="0.4">
      <c r="B118" s="166" t="s">
        <v>197</v>
      </c>
      <c r="C118" s="167"/>
      <c r="D118" s="167"/>
      <c r="E118" s="167"/>
      <c r="F118" s="68">
        <v>274.07</v>
      </c>
      <c r="G118" s="66"/>
      <c r="H118" s="66"/>
      <c r="I118" s="166" t="s">
        <v>197</v>
      </c>
      <c r="J118" s="167"/>
      <c r="K118" s="167"/>
      <c r="L118" s="167"/>
      <c r="M118" s="68">
        <v>274.07</v>
      </c>
    </row>
    <row r="119" spans="2:14" ht="18" customHeight="1" x14ac:dyDescent="0.4">
      <c r="B119" s="172" t="s">
        <v>107</v>
      </c>
      <c r="C119" s="173"/>
      <c r="D119" s="173"/>
      <c r="E119" s="173"/>
      <c r="F119" s="69"/>
      <c r="G119" s="66"/>
      <c r="H119" s="66"/>
      <c r="I119" s="172" t="s">
        <v>107</v>
      </c>
      <c r="J119" s="173"/>
      <c r="K119" s="173"/>
      <c r="L119" s="173"/>
      <c r="M119" s="69"/>
    </row>
    <row r="120" spans="2:14" ht="18" customHeight="1" x14ac:dyDescent="0.4">
      <c r="B120" s="166" t="s">
        <v>179</v>
      </c>
      <c r="C120" s="167"/>
      <c r="D120" s="167"/>
      <c r="E120" s="167"/>
      <c r="F120" s="68">
        <v>229.34</v>
      </c>
      <c r="G120" s="66"/>
      <c r="H120" s="66"/>
      <c r="I120" s="166" t="s">
        <v>179</v>
      </c>
      <c r="J120" s="167"/>
      <c r="K120" s="167"/>
      <c r="L120" s="167"/>
      <c r="M120" s="68">
        <v>229.34</v>
      </c>
    </row>
    <row r="121" spans="2:14" ht="18" customHeight="1" x14ac:dyDescent="0.4">
      <c r="B121" s="166" t="s">
        <v>255</v>
      </c>
      <c r="C121" s="167"/>
      <c r="D121" s="167"/>
      <c r="E121" s="167"/>
      <c r="F121" s="68">
        <v>0</v>
      </c>
      <c r="G121" s="66"/>
      <c r="H121" s="66"/>
      <c r="I121" s="166" t="s">
        <v>255</v>
      </c>
      <c r="J121" s="167"/>
      <c r="K121" s="167"/>
      <c r="L121" s="167"/>
      <c r="M121" s="68">
        <v>0</v>
      </c>
    </row>
    <row r="122" spans="2:14" ht="20.25" customHeight="1" x14ac:dyDescent="0.4">
      <c r="B122" s="166" t="s">
        <v>235</v>
      </c>
      <c r="C122" s="167"/>
      <c r="D122" s="167"/>
      <c r="E122" s="167"/>
      <c r="F122" s="68">
        <v>244.1</v>
      </c>
      <c r="G122" s="66"/>
      <c r="H122" s="66"/>
      <c r="I122" s="166" t="s">
        <v>235</v>
      </c>
      <c r="J122" s="167"/>
      <c r="K122" s="167"/>
      <c r="L122" s="167"/>
      <c r="M122" s="68">
        <v>244.1</v>
      </c>
      <c r="N122" s="39"/>
    </row>
    <row r="123" spans="2:14" ht="19.5" customHeight="1" x14ac:dyDescent="0.3">
      <c r="B123" s="166" t="s">
        <v>236</v>
      </c>
      <c r="C123" s="167"/>
      <c r="D123" s="167"/>
      <c r="E123" s="167"/>
      <c r="F123" s="68">
        <v>0</v>
      </c>
      <c r="G123" s="66"/>
      <c r="H123" s="66"/>
      <c r="I123" s="166" t="s">
        <v>236</v>
      </c>
      <c r="J123" s="167"/>
      <c r="K123" s="167"/>
      <c r="L123" s="167"/>
      <c r="M123" s="68">
        <v>0</v>
      </c>
      <c r="N123" s="34"/>
    </row>
    <row r="124" spans="2:14" ht="18" customHeight="1" x14ac:dyDescent="0.4">
      <c r="B124" s="166" t="s">
        <v>237</v>
      </c>
      <c r="C124" s="167"/>
      <c r="D124" s="167"/>
      <c r="E124" s="167"/>
      <c r="F124" s="68">
        <v>2350</v>
      </c>
      <c r="G124" s="66"/>
      <c r="H124" s="66"/>
      <c r="I124" s="166" t="s">
        <v>237</v>
      </c>
      <c r="J124" s="167"/>
      <c r="K124" s="167"/>
      <c r="L124" s="167"/>
      <c r="M124" s="68">
        <v>2350</v>
      </c>
      <c r="N124" s="35"/>
    </row>
    <row r="125" spans="2:14" ht="17.100000000000001" customHeight="1" x14ac:dyDescent="0.4">
      <c r="B125" s="168" t="s">
        <v>112</v>
      </c>
      <c r="C125" s="169"/>
      <c r="D125" s="169"/>
      <c r="E125" s="169"/>
      <c r="F125" s="70">
        <f>SUM(F114:F118)-SUM(F120:F124)</f>
        <v>2119.35</v>
      </c>
      <c r="G125" s="80"/>
      <c r="H125" s="66"/>
      <c r="I125" s="168" t="s">
        <v>112</v>
      </c>
      <c r="J125" s="169"/>
      <c r="K125" s="169"/>
      <c r="L125" s="169"/>
      <c r="M125" s="70">
        <f>SUM(M114:M118)-SUM(M120:M124)</f>
        <v>2119.35</v>
      </c>
      <c r="N125" s="40"/>
    </row>
    <row r="126" spans="2:14" ht="38.25" customHeight="1" x14ac:dyDescent="0.3">
      <c r="B126" s="170" t="s">
        <v>261</v>
      </c>
      <c r="C126" s="170"/>
      <c r="D126" s="170"/>
      <c r="E126" s="170"/>
      <c r="F126" s="170"/>
      <c r="G126" s="74"/>
      <c r="H126" s="66"/>
      <c r="I126" s="171" t="s">
        <v>261</v>
      </c>
      <c r="J126" s="171"/>
      <c r="K126" s="171"/>
      <c r="L126" s="171"/>
      <c r="M126" s="171"/>
      <c r="N126" s="40"/>
    </row>
    <row r="127" spans="2:14" ht="17.100000000000001" customHeight="1" x14ac:dyDescent="0.4">
      <c r="B127" s="163" t="s">
        <v>114</v>
      </c>
      <c r="C127" s="163"/>
      <c r="D127" s="163"/>
      <c r="E127" s="163"/>
      <c r="F127" s="163"/>
      <c r="G127" s="75"/>
      <c r="H127" s="66"/>
      <c r="I127" s="163" t="s">
        <v>114</v>
      </c>
      <c r="J127" s="163"/>
      <c r="K127" s="163"/>
      <c r="L127" s="163"/>
      <c r="M127" s="163"/>
      <c r="N127" s="40"/>
    </row>
    <row r="128" spans="2:14" ht="17.100000000000001" customHeight="1" x14ac:dyDescent="0.4">
      <c r="B128" s="163"/>
      <c r="C128" s="163"/>
      <c r="D128" s="163"/>
      <c r="E128" s="163"/>
      <c r="F128" s="163"/>
      <c r="G128" s="81"/>
      <c r="H128" s="66"/>
      <c r="I128" s="163"/>
      <c r="J128" s="163"/>
      <c r="K128" s="163"/>
      <c r="L128" s="163"/>
      <c r="M128" s="163"/>
      <c r="N128" s="40"/>
    </row>
    <row r="129" spans="2:14" ht="17.100000000000001" customHeight="1" x14ac:dyDescent="0.4">
      <c r="B129" s="164" t="s">
        <v>239</v>
      </c>
      <c r="C129" s="164"/>
      <c r="D129" s="164"/>
      <c r="E129" s="164"/>
      <c r="F129" s="164"/>
      <c r="G129" s="81"/>
      <c r="H129" s="66"/>
      <c r="I129" s="165" t="s">
        <v>239</v>
      </c>
      <c r="J129" s="165"/>
      <c r="K129" s="165"/>
      <c r="L129" s="165"/>
      <c r="M129" s="165"/>
      <c r="N129" s="40"/>
    </row>
    <row r="130" spans="2:14" ht="17.100000000000001" customHeight="1" x14ac:dyDescent="0.4">
      <c r="B130" s="40"/>
      <c r="C130" s="37"/>
      <c r="D130" s="37"/>
      <c r="E130" s="37"/>
      <c r="F130" s="37"/>
      <c r="G130" s="40"/>
      <c r="I130" s="40"/>
      <c r="J130" s="37"/>
      <c r="K130" s="37"/>
      <c r="L130" s="37"/>
      <c r="M130" s="37"/>
      <c r="N130" s="40"/>
    </row>
    <row r="131" spans="2:14" ht="17.100000000000001" customHeight="1" x14ac:dyDescent="0.4">
      <c r="B131" s="40"/>
      <c r="C131" s="37"/>
      <c r="D131" s="37"/>
      <c r="E131" s="37"/>
      <c r="F131" s="37"/>
      <c r="G131" s="40"/>
      <c r="I131" s="40"/>
      <c r="J131" s="37"/>
      <c r="K131" s="37"/>
      <c r="L131" s="37"/>
      <c r="M131" s="37"/>
      <c r="N131" s="40"/>
    </row>
    <row r="132" spans="2:14" ht="17.100000000000001" customHeight="1" x14ac:dyDescent="0.4">
      <c r="B132" s="40"/>
      <c r="C132" s="37"/>
      <c r="D132" s="37"/>
      <c r="E132" s="37"/>
      <c r="F132" s="37"/>
      <c r="G132" s="40"/>
      <c r="I132" s="40"/>
      <c r="J132" s="37"/>
      <c r="K132" s="37"/>
      <c r="L132" s="37"/>
      <c r="M132" s="37"/>
      <c r="N132" s="40"/>
    </row>
    <row r="133" spans="2:14" ht="17.100000000000001" customHeight="1" x14ac:dyDescent="0.4">
      <c r="B133" s="40"/>
      <c r="C133" s="37"/>
      <c r="D133" s="37"/>
      <c r="E133" s="37"/>
      <c r="F133" s="37"/>
      <c r="G133" s="40"/>
      <c r="I133" s="40"/>
      <c r="J133" s="37"/>
      <c r="K133" s="37"/>
      <c r="L133" s="37"/>
      <c r="M133" s="37"/>
      <c r="N133" s="40"/>
    </row>
    <row r="134" spans="2:14" ht="47.25" customHeight="1" x14ac:dyDescent="0.4">
      <c r="B134" s="40"/>
      <c r="C134" s="37"/>
      <c r="D134" s="37"/>
      <c r="E134" s="37"/>
      <c r="F134" s="37"/>
      <c r="G134" s="40"/>
      <c r="I134" s="40"/>
      <c r="J134" s="37"/>
      <c r="K134" s="37"/>
      <c r="L134" s="37"/>
      <c r="M134" s="37"/>
    </row>
    <row r="135" spans="2:14" ht="21" customHeight="1" x14ac:dyDescent="0.4">
      <c r="B135" s="40"/>
      <c r="C135" s="37"/>
      <c r="D135" s="37"/>
      <c r="E135" s="37"/>
      <c r="F135" s="37"/>
      <c r="G135" s="40"/>
      <c r="I135" s="40"/>
      <c r="J135" s="37"/>
      <c r="K135" s="37"/>
      <c r="L135" s="37"/>
      <c r="M135" s="37"/>
      <c r="N135" s="24"/>
    </row>
    <row r="136" spans="2:14" ht="21" customHeight="1" x14ac:dyDescent="0.4">
      <c r="B136" s="40"/>
      <c r="C136" s="37"/>
      <c r="D136" s="37"/>
      <c r="E136" s="37"/>
      <c r="F136" s="37"/>
      <c r="G136" s="40"/>
      <c r="I136" s="40"/>
      <c r="J136" s="37"/>
      <c r="K136" s="37"/>
      <c r="L136" s="37"/>
      <c r="M136" s="37"/>
      <c r="N136" s="24"/>
    </row>
    <row r="137" spans="2:14" ht="21" customHeight="1" x14ac:dyDescent="0.4">
      <c r="B137" s="40"/>
      <c r="C137" s="37"/>
      <c r="D137" s="37"/>
      <c r="E137" s="37"/>
      <c r="F137" s="37"/>
      <c r="I137" s="40"/>
      <c r="J137" s="37"/>
      <c r="K137" s="37"/>
      <c r="L137" s="37"/>
      <c r="M137" s="37"/>
      <c r="N137" s="24"/>
    </row>
    <row r="138" spans="2:14" ht="18" customHeight="1" x14ac:dyDescent="0.4">
      <c r="B138" s="102"/>
      <c r="C138" s="102"/>
      <c r="D138" s="102"/>
      <c r="E138" s="102"/>
      <c r="F138" s="102"/>
      <c r="G138" s="24"/>
      <c r="I138" s="102"/>
      <c r="J138" s="102"/>
      <c r="K138" s="102"/>
      <c r="L138" s="102"/>
      <c r="M138" s="102"/>
      <c r="N138" s="32"/>
    </row>
    <row r="139" spans="2:14" ht="18" customHeight="1" x14ac:dyDescent="0.4">
      <c r="B139" s="110"/>
      <c r="C139" s="110"/>
      <c r="D139" s="110"/>
      <c r="E139" s="110"/>
      <c r="F139" s="110"/>
      <c r="G139" s="24"/>
      <c r="I139" s="110"/>
      <c r="J139" s="110"/>
      <c r="K139" s="110"/>
      <c r="L139" s="110"/>
      <c r="M139" s="110"/>
      <c r="N139" s="32"/>
    </row>
    <row r="140" spans="2:14" ht="18" customHeight="1" x14ac:dyDescent="0.4">
      <c r="B140" s="110"/>
      <c r="C140" s="110"/>
      <c r="D140" s="110"/>
      <c r="E140" s="110"/>
      <c r="F140" s="110"/>
      <c r="G140" s="24"/>
      <c r="I140" s="110"/>
      <c r="J140" s="110"/>
      <c r="K140" s="110"/>
      <c r="L140" s="110"/>
      <c r="M140" s="110"/>
    </row>
    <row r="141" spans="2:14" ht="18" customHeight="1" x14ac:dyDescent="0.4">
      <c r="B141" s="110"/>
      <c r="C141" s="110"/>
      <c r="D141" s="110"/>
      <c r="E141" s="110"/>
      <c r="F141" s="110"/>
      <c r="G141" s="32"/>
      <c r="I141" s="110"/>
      <c r="J141" s="110"/>
      <c r="K141" s="110"/>
      <c r="L141" s="110"/>
      <c r="M141" s="110"/>
    </row>
    <row r="142" spans="2:14" x14ac:dyDescent="0.25">
      <c r="B142" s="131"/>
      <c r="C142" s="132"/>
      <c r="D142" s="132"/>
      <c r="E142" s="132"/>
      <c r="F142" s="133"/>
      <c r="G142" s="32"/>
      <c r="I142" s="114"/>
      <c r="J142" s="115"/>
      <c r="K142" s="115"/>
      <c r="L142" s="115"/>
      <c r="M142" s="116"/>
    </row>
    <row r="143" spans="2:14" ht="18" customHeight="1" x14ac:dyDescent="0.25">
      <c r="B143" s="134"/>
      <c r="C143" s="135"/>
      <c r="D143" s="135"/>
      <c r="E143" s="135"/>
      <c r="F143" s="136"/>
      <c r="I143" s="111"/>
      <c r="J143" s="112"/>
      <c r="K143" s="112"/>
      <c r="L143" s="112"/>
      <c r="M143" s="113"/>
    </row>
    <row r="144" spans="2:14" ht="18" customHeight="1" x14ac:dyDescent="0.3">
      <c r="B144" s="125"/>
      <c r="C144" s="126"/>
      <c r="D144" s="126"/>
      <c r="E144" s="126"/>
      <c r="F144" s="63"/>
      <c r="I144" s="97"/>
      <c r="J144" s="98"/>
      <c r="K144" s="98"/>
      <c r="L144" s="98"/>
      <c r="M144" s="26"/>
    </row>
    <row r="145" spans="2:14" ht="18" customHeight="1" x14ac:dyDescent="0.3">
      <c r="B145" s="125"/>
      <c r="C145" s="126"/>
      <c r="D145" s="126"/>
      <c r="E145" s="126"/>
      <c r="F145" s="63"/>
      <c r="I145" s="97"/>
      <c r="J145" s="98"/>
      <c r="K145" s="98"/>
      <c r="L145" s="98"/>
      <c r="M145" s="26"/>
    </row>
    <row r="146" spans="2:14" ht="18" customHeight="1" x14ac:dyDescent="0.3">
      <c r="B146" s="125"/>
      <c r="C146" s="126"/>
      <c r="D146" s="126"/>
      <c r="E146" s="126"/>
      <c r="F146" s="63"/>
      <c r="I146" s="97"/>
      <c r="J146" s="98"/>
      <c r="K146" s="98"/>
      <c r="L146" s="98"/>
      <c r="M146" s="26"/>
    </row>
    <row r="147" spans="2:14" ht="18" customHeight="1" x14ac:dyDescent="0.25">
      <c r="B147" s="129"/>
      <c r="C147" s="130"/>
      <c r="D147" s="130"/>
      <c r="E147" s="130"/>
      <c r="F147" s="64"/>
      <c r="I147" s="99"/>
      <c r="J147" s="100"/>
      <c r="K147" s="100"/>
      <c r="L147" s="100"/>
      <c r="M147" s="29"/>
    </row>
    <row r="148" spans="2:14" ht="18" customHeight="1" x14ac:dyDescent="0.3">
      <c r="B148" s="125"/>
      <c r="C148" s="126"/>
      <c r="D148" s="126"/>
      <c r="E148" s="126"/>
      <c r="F148" s="63"/>
      <c r="I148" s="97"/>
      <c r="J148" s="98"/>
      <c r="K148" s="98"/>
      <c r="L148" s="98"/>
      <c r="M148" s="26"/>
    </row>
    <row r="149" spans="2:14" ht="45" customHeight="1" x14ac:dyDescent="0.3">
      <c r="B149" s="125"/>
      <c r="C149" s="126"/>
      <c r="D149" s="126"/>
      <c r="E149" s="126"/>
      <c r="F149" s="63"/>
      <c r="I149" s="97"/>
      <c r="J149" s="98"/>
      <c r="K149" s="98"/>
      <c r="L149" s="98"/>
      <c r="M149" s="26"/>
      <c r="N149" s="39"/>
    </row>
    <row r="150" spans="2:14" ht="22.5" customHeight="1" x14ac:dyDescent="0.3">
      <c r="B150" s="125"/>
      <c r="C150" s="126"/>
      <c r="D150" s="126"/>
      <c r="E150" s="126"/>
      <c r="F150" s="63"/>
      <c r="I150" s="97"/>
      <c r="J150" s="98"/>
      <c r="K150" s="98"/>
      <c r="L150" s="98"/>
      <c r="M150" s="26"/>
      <c r="N150" s="34"/>
    </row>
    <row r="151" spans="2:14" ht="27" customHeight="1" x14ac:dyDescent="0.3">
      <c r="B151" s="125"/>
      <c r="C151" s="126"/>
      <c r="D151" s="126"/>
      <c r="E151" s="126"/>
      <c r="F151" s="63"/>
      <c r="I151" s="97"/>
      <c r="J151" s="98"/>
      <c r="K151" s="98"/>
      <c r="L151" s="98"/>
      <c r="M151" s="26"/>
      <c r="N151" s="35"/>
    </row>
    <row r="152" spans="2:14" ht="17.100000000000001" customHeight="1" x14ac:dyDescent="0.2">
      <c r="B152" s="127"/>
      <c r="C152" s="128"/>
      <c r="D152" s="128"/>
      <c r="E152" s="128"/>
      <c r="F152" s="65"/>
      <c r="G152" s="38"/>
      <c r="I152" s="104"/>
      <c r="J152" s="105"/>
      <c r="K152" s="105"/>
      <c r="L152" s="105"/>
      <c r="M152" s="30"/>
      <c r="N152" s="40"/>
    </row>
    <row r="153" spans="2:14" x14ac:dyDescent="0.3">
      <c r="B153" s="103"/>
      <c r="C153" s="103"/>
      <c r="D153" s="103"/>
      <c r="E153" s="103"/>
      <c r="F153" s="103"/>
      <c r="G153" s="34"/>
      <c r="I153" s="103"/>
      <c r="J153" s="103"/>
      <c r="K153" s="103"/>
      <c r="L153" s="103"/>
      <c r="M153" s="103"/>
    </row>
    <row r="154" spans="2:14" x14ac:dyDescent="0.3">
      <c r="B154" s="34"/>
      <c r="C154" s="34"/>
      <c r="D154" s="34"/>
      <c r="E154" s="34"/>
      <c r="F154" s="34"/>
      <c r="G154" s="35"/>
      <c r="I154" s="34"/>
      <c r="J154" s="34"/>
      <c r="K154" s="34"/>
      <c r="L154" s="34"/>
      <c r="M154" s="34"/>
    </row>
    <row r="155" spans="2:14" ht="19.5" x14ac:dyDescent="0.4">
      <c r="B155" s="33"/>
      <c r="C155" s="35"/>
      <c r="D155" s="35"/>
      <c r="E155" s="35"/>
      <c r="F155" s="35"/>
      <c r="G155" s="40"/>
      <c r="I155" s="33"/>
      <c r="J155" s="35"/>
      <c r="K155" s="35"/>
      <c r="L155" s="35"/>
      <c r="M155" s="35"/>
    </row>
    <row r="156" spans="2:14" ht="19.5" x14ac:dyDescent="0.4">
      <c r="B156" s="40"/>
      <c r="C156" s="108"/>
      <c r="D156" s="108"/>
      <c r="E156" s="108"/>
      <c r="F156" s="108"/>
      <c r="I156" s="40"/>
      <c r="J156" s="108"/>
      <c r="K156" s="108"/>
      <c r="L156" s="108"/>
      <c r="M156" s="108"/>
    </row>
  </sheetData>
  <mergeCells count="218">
    <mergeCell ref="B1:F1"/>
    <mergeCell ref="I1:M1"/>
    <mergeCell ref="B2:F2"/>
    <mergeCell ref="I2:M2"/>
    <mergeCell ref="B3:F3"/>
    <mergeCell ref="I3:M3"/>
    <mergeCell ref="B4:F4"/>
    <mergeCell ref="I4:M4"/>
    <mergeCell ref="B5:F5"/>
    <mergeCell ref="I5:M5"/>
    <mergeCell ref="B6:F6"/>
    <mergeCell ref="I6:M6"/>
    <mergeCell ref="B7:E7"/>
    <mergeCell ref="I7:L7"/>
    <mergeCell ref="B8:E8"/>
    <mergeCell ref="I8:L8"/>
    <mergeCell ref="B9:E9"/>
    <mergeCell ref="I9:L9"/>
    <mergeCell ref="B10:E10"/>
    <mergeCell ref="I10:L10"/>
    <mergeCell ref="B11:E11"/>
    <mergeCell ref="I11:L11"/>
    <mergeCell ref="B12:E12"/>
    <mergeCell ref="I12:L12"/>
    <mergeCell ref="B13:E13"/>
    <mergeCell ref="I13:L13"/>
    <mergeCell ref="B14:E14"/>
    <mergeCell ref="I14:L14"/>
    <mergeCell ref="B15:E15"/>
    <mergeCell ref="I15:L15"/>
    <mergeCell ref="B16:F16"/>
    <mergeCell ref="I16:M16"/>
    <mergeCell ref="B17:G17"/>
    <mergeCell ref="I17:N17"/>
    <mergeCell ref="B19:F19"/>
    <mergeCell ref="I19:M19"/>
    <mergeCell ref="B27:F27"/>
    <mergeCell ref="I27:M27"/>
    <mergeCell ref="B28:F28"/>
    <mergeCell ref="I28:M28"/>
    <mergeCell ref="B29:F29"/>
    <mergeCell ref="I29:M29"/>
    <mergeCell ref="B30:F30"/>
    <mergeCell ref="I30:M30"/>
    <mergeCell ref="B31:F31"/>
    <mergeCell ref="I31:M31"/>
    <mergeCell ref="B32:F32"/>
    <mergeCell ref="I32:M32"/>
    <mergeCell ref="B33:E33"/>
    <mergeCell ref="I33:L33"/>
    <mergeCell ref="B34:E34"/>
    <mergeCell ref="I34:L34"/>
    <mergeCell ref="B35:E35"/>
    <mergeCell ref="I35:L35"/>
    <mergeCell ref="B36:E36"/>
    <mergeCell ref="I36:L36"/>
    <mergeCell ref="B37:E37"/>
    <mergeCell ref="I37:L37"/>
    <mergeCell ref="B38:E38"/>
    <mergeCell ref="I38:L38"/>
    <mergeCell ref="B39:E39"/>
    <mergeCell ref="I39:L39"/>
    <mergeCell ref="B40:E40"/>
    <mergeCell ref="I40:L40"/>
    <mergeCell ref="B41:E41"/>
    <mergeCell ref="I41:L41"/>
    <mergeCell ref="B42:E42"/>
    <mergeCell ref="I42:L42"/>
    <mergeCell ref="B43:F43"/>
    <mergeCell ref="I43:M43"/>
    <mergeCell ref="B44:F44"/>
    <mergeCell ref="I44:M44"/>
    <mergeCell ref="B45:F45"/>
    <mergeCell ref="I45:M45"/>
    <mergeCell ref="B46:F46"/>
    <mergeCell ref="I46:M46"/>
    <mergeCell ref="B57:F57"/>
    <mergeCell ref="I57:M57"/>
    <mergeCell ref="B58:F58"/>
    <mergeCell ref="I58:M58"/>
    <mergeCell ref="B59:F59"/>
    <mergeCell ref="I59:M59"/>
    <mergeCell ref="B60:F60"/>
    <mergeCell ref="I60:M60"/>
    <mergeCell ref="B61:F61"/>
    <mergeCell ref="I61:M61"/>
    <mergeCell ref="B62:F62"/>
    <mergeCell ref="I62:M62"/>
    <mergeCell ref="B63:E63"/>
    <mergeCell ref="I63:L63"/>
    <mergeCell ref="B64:E64"/>
    <mergeCell ref="I64:L64"/>
    <mergeCell ref="B65:E65"/>
    <mergeCell ref="I65:L65"/>
    <mergeCell ref="B66:E66"/>
    <mergeCell ref="I66:L66"/>
    <mergeCell ref="B67:E67"/>
    <mergeCell ref="I67:L67"/>
    <mergeCell ref="B68:E68"/>
    <mergeCell ref="I68:L68"/>
    <mergeCell ref="B69:E69"/>
    <mergeCell ref="I69:L69"/>
    <mergeCell ref="B70:E70"/>
    <mergeCell ref="I70:L70"/>
    <mergeCell ref="B71:E71"/>
    <mergeCell ref="I71:L71"/>
    <mergeCell ref="B72:F72"/>
    <mergeCell ref="I72:M72"/>
    <mergeCell ref="B73:F74"/>
    <mergeCell ref="I73:M74"/>
    <mergeCell ref="B75:F75"/>
    <mergeCell ref="I75:M75"/>
    <mergeCell ref="B83:F83"/>
    <mergeCell ref="I83:M83"/>
    <mergeCell ref="B84:F84"/>
    <mergeCell ref="I84:M84"/>
    <mergeCell ref="B85:F85"/>
    <mergeCell ref="I85:M85"/>
    <mergeCell ref="B86:F86"/>
    <mergeCell ref="I86:M86"/>
    <mergeCell ref="B87:F87"/>
    <mergeCell ref="I87:M87"/>
    <mergeCell ref="B88:F88"/>
    <mergeCell ref="I88:M88"/>
    <mergeCell ref="B89:E89"/>
    <mergeCell ref="I89:L89"/>
    <mergeCell ref="B90:E90"/>
    <mergeCell ref="I90:L90"/>
    <mergeCell ref="B91:E91"/>
    <mergeCell ref="I91:L91"/>
    <mergeCell ref="B92:E92"/>
    <mergeCell ref="I92:L92"/>
    <mergeCell ref="B93:E93"/>
    <mergeCell ref="I93:L93"/>
    <mergeCell ref="B94:E94"/>
    <mergeCell ref="I94:L94"/>
    <mergeCell ref="B95:F95"/>
    <mergeCell ref="I95:M95"/>
    <mergeCell ref="B96:F97"/>
    <mergeCell ref="I96:M97"/>
    <mergeCell ref="B98:F98"/>
    <mergeCell ref="I98:M98"/>
    <mergeCell ref="B108:F108"/>
    <mergeCell ref="I108:M108"/>
    <mergeCell ref="B109:F109"/>
    <mergeCell ref="I109:M109"/>
    <mergeCell ref="B110:F110"/>
    <mergeCell ref="I110:M110"/>
    <mergeCell ref="B111:F111"/>
    <mergeCell ref="I111:M111"/>
    <mergeCell ref="B112:F112"/>
    <mergeCell ref="I112:M112"/>
    <mergeCell ref="B113:F113"/>
    <mergeCell ref="I113:M113"/>
    <mergeCell ref="B114:E114"/>
    <mergeCell ref="I114:L114"/>
    <mergeCell ref="B115:E115"/>
    <mergeCell ref="I115:L115"/>
    <mergeCell ref="B116:E116"/>
    <mergeCell ref="I116:L116"/>
    <mergeCell ref="B117:E117"/>
    <mergeCell ref="I117:L117"/>
    <mergeCell ref="B118:E118"/>
    <mergeCell ref="I118:L118"/>
    <mergeCell ref="B119:E119"/>
    <mergeCell ref="I119:L119"/>
    <mergeCell ref="B120:E120"/>
    <mergeCell ref="I120:L120"/>
    <mergeCell ref="B121:E121"/>
    <mergeCell ref="I121:L121"/>
    <mergeCell ref="B122:E122"/>
    <mergeCell ref="I122:L122"/>
    <mergeCell ref="B123:E123"/>
    <mergeCell ref="I123:L123"/>
    <mergeCell ref="B124:E124"/>
    <mergeCell ref="I124:L124"/>
    <mergeCell ref="B125:E125"/>
    <mergeCell ref="I125:L125"/>
    <mergeCell ref="B126:F126"/>
    <mergeCell ref="I126:M126"/>
    <mergeCell ref="B127:F128"/>
    <mergeCell ref="I127:M128"/>
    <mergeCell ref="B129:F129"/>
    <mergeCell ref="I129:M129"/>
    <mergeCell ref="B138:F138"/>
    <mergeCell ref="I138:M138"/>
    <mergeCell ref="B139:F139"/>
    <mergeCell ref="I139:M139"/>
    <mergeCell ref="B140:F140"/>
    <mergeCell ref="I140:M140"/>
    <mergeCell ref="B141:F141"/>
    <mergeCell ref="I141:M141"/>
    <mergeCell ref="B142:F142"/>
    <mergeCell ref="I142:M142"/>
    <mergeCell ref="B143:F143"/>
    <mergeCell ref="I143:M143"/>
    <mergeCell ref="B144:E144"/>
    <mergeCell ref="I144:L144"/>
    <mergeCell ref="B145:E145"/>
    <mergeCell ref="I145:L145"/>
    <mergeCell ref="B151:E151"/>
    <mergeCell ref="I151:L151"/>
    <mergeCell ref="B152:E152"/>
    <mergeCell ref="I152:L152"/>
    <mergeCell ref="B153:F153"/>
    <mergeCell ref="I153:M153"/>
    <mergeCell ref="C156:F156"/>
    <mergeCell ref="J156:M156"/>
    <mergeCell ref="B146:E146"/>
    <mergeCell ref="I146:L146"/>
    <mergeCell ref="B147:E147"/>
    <mergeCell ref="I147:L147"/>
    <mergeCell ref="B148:E148"/>
    <mergeCell ref="I148:L148"/>
    <mergeCell ref="B149:E149"/>
    <mergeCell ref="I149:L149"/>
    <mergeCell ref="B150:E150"/>
    <mergeCell ref="I150:L150"/>
  </mergeCells>
  <dataValidations count="1">
    <dataValidation allowBlank="1" showInputMessage="1" showErrorMessage="1" prompt="O título da planilha está nesta célula. Insira o nome do cartão de crédito para atualizar o título" sqref="B1 B108 B83 I108 I1 B27 B57 B138 I27 I83 I138 I57" xr:uid="{00000000-0002-0000-0E00-000000000000}"/>
  </dataValidations>
  <printOptions horizontalCentered="1"/>
  <pageMargins left="0" right="0" top="0" bottom="0" header="0" footer="0"/>
  <pageSetup paperSize="9" fitToHeight="0" orientation="landscape" horizontalDpi="4294967293"/>
  <headerFooter scaleWithDoc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/>
  </sheetPr>
  <dimension ref="A1:P158"/>
  <sheetViews>
    <sheetView topLeftCell="B106" workbookViewId="0">
      <selection activeCell="Q126" sqref="Q126"/>
    </sheetView>
  </sheetViews>
  <sheetFormatPr defaultColWidth="8.88671875" defaultRowHeight="18.75" x14ac:dyDescent="0.4"/>
  <cols>
    <col min="1" max="1" width="2.21875" customWidth="1"/>
    <col min="2" max="2" width="17.6640625" customWidth="1"/>
    <col min="5" max="5" width="8.109375" customWidth="1"/>
    <col min="6" max="6" width="14.33203125" customWidth="1"/>
    <col min="7" max="7" width="1.6640625" customWidth="1"/>
    <col min="8" max="8" width="2.21875" customWidth="1"/>
    <col min="9" max="9" width="17.6640625" customWidth="1"/>
    <col min="13" max="13" width="14" customWidth="1"/>
    <col min="14" max="14" width="1.6640625" customWidth="1"/>
    <col min="15" max="16" width="10.77734375" bestFit="1" customWidth="1"/>
  </cols>
  <sheetData>
    <row r="1" spans="2:14" ht="43.5" customHeight="1" x14ac:dyDescent="0.4">
      <c r="B1" s="180" t="s">
        <v>96</v>
      </c>
      <c r="C1" s="180"/>
      <c r="D1" s="180"/>
      <c r="E1" s="180"/>
      <c r="F1" s="180"/>
      <c r="G1" s="66"/>
      <c r="H1" s="66"/>
      <c r="I1" s="180" t="s">
        <v>96</v>
      </c>
      <c r="J1" s="180"/>
      <c r="K1" s="180"/>
      <c r="L1" s="180"/>
      <c r="M1" s="180"/>
      <c r="N1" s="66"/>
    </row>
    <row r="2" spans="2:14" ht="21" customHeight="1" x14ac:dyDescent="0.4">
      <c r="B2" s="181" t="s">
        <v>97</v>
      </c>
      <c r="C2" s="181"/>
      <c r="D2" s="181"/>
      <c r="E2" s="181"/>
      <c r="F2" s="181"/>
      <c r="G2" s="67"/>
      <c r="H2" s="66"/>
      <c r="I2" s="181" t="s">
        <v>97</v>
      </c>
      <c r="J2" s="181"/>
      <c r="K2" s="181"/>
      <c r="L2" s="181"/>
      <c r="M2" s="181"/>
      <c r="N2" s="67"/>
    </row>
    <row r="3" spans="2:14" ht="21" customHeight="1" x14ac:dyDescent="0.4">
      <c r="B3" s="181" t="s">
        <v>98</v>
      </c>
      <c r="C3" s="181"/>
      <c r="D3" s="181"/>
      <c r="E3" s="181"/>
      <c r="F3" s="181"/>
      <c r="G3" s="67"/>
      <c r="H3" s="66"/>
      <c r="I3" s="181" t="s">
        <v>98</v>
      </c>
      <c r="J3" s="181"/>
      <c r="K3" s="181"/>
      <c r="L3" s="181"/>
      <c r="M3" s="181"/>
      <c r="N3" s="67"/>
    </row>
    <row r="4" spans="2:14" ht="21" customHeight="1" x14ac:dyDescent="0.4">
      <c r="B4" s="181" t="s">
        <v>202</v>
      </c>
      <c r="C4" s="181"/>
      <c r="D4" s="181"/>
      <c r="E4" s="181"/>
      <c r="F4" s="181"/>
      <c r="G4" s="67"/>
      <c r="H4" s="66"/>
      <c r="I4" s="186" t="s">
        <v>202</v>
      </c>
      <c r="J4" s="186"/>
      <c r="K4" s="186"/>
      <c r="L4" s="186"/>
      <c r="M4" s="186"/>
      <c r="N4" s="67"/>
    </row>
    <row r="5" spans="2:14" ht="18" customHeight="1" x14ac:dyDescent="0.4">
      <c r="B5" s="174" t="s">
        <v>100</v>
      </c>
      <c r="C5" s="175"/>
      <c r="D5" s="175"/>
      <c r="E5" s="175"/>
      <c r="F5" s="176"/>
      <c r="G5" s="66"/>
      <c r="H5" s="66"/>
      <c r="I5" s="174" t="s">
        <v>100</v>
      </c>
      <c r="J5" s="175"/>
      <c r="K5" s="175"/>
      <c r="L5" s="175"/>
      <c r="M5" s="176"/>
      <c r="N5" s="66"/>
    </row>
    <row r="6" spans="2:14" ht="18" customHeight="1" x14ac:dyDescent="0.4">
      <c r="B6" s="177" t="s">
        <v>101</v>
      </c>
      <c r="C6" s="178"/>
      <c r="D6" s="178"/>
      <c r="E6" s="178"/>
      <c r="F6" s="179"/>
      <c r="G6" s="66"/>
      <c r="H6" s="66"/>
      <c r="I6" s="177" t="s">
        <v>101</v>
      </c>
      <c r="J6" s="178"/>
      <c r="K6" s="178"/>
      <c r="L6" s="178"/>
      <c r="M6" s="179"/>
      <c r="N6" s="66"/>
    </row>
    <row r="7" spans="2:14" x14ac:dyDescent="0.4">
      <c r="B7" s="166" t="s">
        <v>240</v>
      </c>
      <c r="C7" s="167"/>
      <c r="D7" s="167"/>
      <c r="E7" s="167"/>
      <c r="F7" s="68">
        <v>2900</v>
      </c>
      <c r="G7" s="66"/>
      <c r="H7" s="66"/>
      <c r="I7" s="166" t="s">
        <v>240</v>
      </c>
      <c r="J7" s="167"/>
      <c r="K7" s="167"/>
      <c r="L7" s="167"/>
      <c r="M7" s="68">
        <v>2900</v>
      </c>
      <c r="N7" s="66"/>
    </row>
    <row r="8" spans="2:14" x14ac:dyDescent="0.4">
      <c r="B8" s="166" t="s">
        <v>204</v>
      </c>
      <c r="C8" s="167"/>
      <c r="D8" s="167"/>
      <c r="E8" s="167"/>
      <c r="F8" s="68">
        <v>0</v>
      </c>
      <c r="G8" s="66"/>
      <c r="H8" s="66"/>
      <c r="I8" s="166" t="s">
        <v>204</v>
      </c>
      <c r="J8" s="167"/>
      <c r="K8" s="167"/>
      <c r="L8" s="167"/>
      <c r="M8" s="68">
        <v>0</v>
      </c>
      <c r="N8" s="66"/>
    </row>
    <row r="9" spans="2:14" x14ac:dyDescent="0.4">
      <c r="B9" s="166" t="s">
        <v>241</v>
      </c>
      <c r="C9" s="167"/>
      <c r="D9" s="167"/>
      <c r="E9" s="167"/>
      <c r="F9" s="68">
        <v>842.72</v>
      </c>
      <c r="G9" s="66"/>
      <c r="H9" s="66"/>
      <c r="I9" s="166" t="s">
        <v>241</v>
      </c>
      <c r="J9" s="167"/>
      <c r="K9" s="167"/>
      <c r="L9" s="167"/>
      <c r="M9" s="68">
        <v>842.72</v>
      </c>
      <c r="N9" s="66"/>
    </row>
    <row r="10" spans="2:14" x14ac:dyDescent="0.4">
      <c r="B10" s="166" t="s">
        <v>106</v>
      </c>
      <c r="C10" s="167"/>
      <c r="D10" s="167"/>
      <c r="E10" s="167"/>
      <c r="F10" s="68">
        <v>26</v>
      </c>
      <c r="G10" s="66"/>
      <c r="H10" s="66"/>
      <c r="I10" s="166" t="s">
        <v>106</v>
      </c>
      <c r="J10" s="167"/>
      <c r="K10" s="167"/>
      <c r="L10" s="167"/>
      <c r="M10" s="68">
        <v>26</v>
      </c>
      <c r="N10" s="66"/>
    </row>
    <row r="11" spans="2:14" ht="18" customHeight="1" x14ac:dyDescent="0.4">
      <c r="B11" s="172" t="s">
        <v>107</v>
      </c>
      <c r="C11" s="173"/>
      <c r="D11" s="173"/>
      <c r="E11" s="173"/>
      <c r="F11" s="69"/>
      <c r="G11" s="66"/>
      <c r="H11" s="66"/>
      <c r="I11" s="172" t="s">
        <v>107</v>
      </c>
      <c r="J11" s="173"/>
      <c r="K11" s="173"/>
      <c r="L11" s="173"/>
      <c r="M11" s="69"/>
      <c r="N11" s="66"/>
    </row>
    <row r="12" spans="2:14" ht="18" customHeight="1" x14ac:dyDescent="0.4">
      <c r="B12" s="166" t="s">
        <v>242</v>
      </c>
      <c r="C12" s="167"/>
      <c r="D12" s="167"/>
      <c r="E12" s="167"/>
      <c r="F12" s="68">
        <v>320.95</v>
      </c>
      <c r="G12" s="66"/>
      <c r="H12" s="66"/>
      <c r="I12" s="166" t="s">
        <v>242</v>
      </c>
      <c r="J12" s="167"/>
      <c r="K12" s="167"/>
      <c r="L12" s="167"/>
      <c r="M12" s="68">
        <v>320.95</v>
      </c>
      <c r="N12" s="66"/>
    </row>
    <row r="13" spans="2:14" ht="18" customHeight="1" x14ac:dyDescent="0.4">
      <c r="B13" s="166" t="s">
        <v>205</v>
      </c>
      <c r="C13" s="167"/>
      <c r="D13" s="167"/>
      <c r="E13" s="167"/>
      <c r="F13" s="68">
        <v>71.14</v>
      </c>
      <c r="G13" s="66"/>
      <c r="H13" s="66"/>
      <c r="I13" s="166" t="s">
        <v>205</v>
      </c>
      <c r="J13" s="167"/>
      <c r="K13" s="167"/>
      <c r="L13" s="167"/>
      <c r="M13" s="68">
        <v>71.14</v>
      </c>
      <c r="N13" s="66"/>
    </row>
    <row r="14" spans="2:14" ht="18" customHeight="1" x14ac:dyDescent="0.4">
      <c r="B14" s="166" t="s">
        <v>206</v>
      </c>
      <c r="C14" s="167"/>
      <c r="D14" s="167"/>
      <c r="E14" s="167"/>
      <c r="F14" s="68">
        <v>580</v>
      </c>
      <c r="G14" s="66"/>
      <c r="H14" s="66"/>
      <c r="I14" s="166" t="s">
        <v>206</v>
      </c>
      <c r="J14" s="167"/>
      <c r="K14" s="167"/>
      <c r="L14" s="167"/>
      <c r="M14" s="68">
        <v>580</v>
      </c>
      <c r="N14" s="66"/>
    </row>
    <row r="15" spans="2:14" ht="18" customHeight="1" x14ac:dyDescent="0.4">
      <c r="B15" s="168" t="s">
        <v>112</v>
      </c>
      <c r="C15" s="169"/>
      <c r="D15" s="169"/>
      <c r="E15" s="169"/>
      <c r="F15" s="70">
        <f>SUM(F7:F10)-SUM(F12:F14)</f>
        <v>2796.63</v>
      </c>
      <c r="G15" s="66"/>
      <c r="H15" s="66"/>
      <c r="I15" s="168" t="s">
        <v>112</v>
      </c>
      <c r="J15" s="169"/>
      <c r="K15" s="169"/>
      <c r="L15" s="169"/>
      <c r="M15" s="70">
        <f>SUM(M7:M10)-SUM(M12:M14)</f>
        <v>2796.63</v>
      </c>
      <c r="N15" s="66"/>
    </row>
    <row r="16" spans="2:14" ht="48.95" customHeight="1" x14ac:dyDescent="0.4">
      <c r="B16" s="170" t="s">
        <v>243</v>
      </c>
      <c r="C16" s="170"/>
      <c r="D16" s="170"/>
      <c r="E16" s="170"/>
      <c r="F16" s="170"/>
      <c r="G16" s="71"/>
      <c r="H16" s="72"/>
      <c r="I16" s="171" t="s">
        <v>244</v>
      </c>
      <c r="J16" s="171"/>
      <c r="K16" s="171"/>
      <c r="L16" s="171"/>
      <c r="M16" s="171"/>
      <c r="N16" s="73"/>
    </row>
    <row r="17" spans="1:14" ht="22.5" customHeight="1" x14ac:dyDescent="0.3">
      <c r="B17" s="163" t="s">
        <v>114</v>
      </c>
      <c r="C17" s="163"/>
      <c r="D17" s="163"/>
      <c r="E17" s="163"/>
      <c r="F17" s="163"/>
      <c r="G17" s="163"/>
      <c r="H17" s="66"/>
      <c r="I17" s="163" t="s">
        <v>114</v>
      </c>
      <c r="J17" s="163"/>
      <c r="K17" s="163"/>
      <c r="L17" s="163"/>
      <c r="M17" s="163"/>
      <c r="N17" s="163"/>
    </row>
    <row r="18" spans="1:14" ht="32.25" customHeight="1" x14ac:dyDescent="0.4">
      <c r="B18" s="73"/>
      <c r="C18" s="75"/>
      <c r="D18" s="75"/>
      <c r="E18" s="75"/>
      <c r="F18" s="75"/>
      <c r="G18" s="75"/>
      <c r="H18" s="66"/>
      <c r="I18" s="73"/>
      <c r="J18" s="75"/>
      <c r="K18" s="75"/>
      <c r="L18" s="75"/>
      <c r="M18" s="75"/>
      <c r="N18" s="75"/>
    </row>
    <row r="19" spans="1:14" ht="16.899999999999999" customHeight="1" x14ac:dyDescent="0.4">
      <c r="B19" s="164" t="s">
        <v>208</v>
      </c>
      <c r="C19" s="164"/>
      <c r="D19" s="164"/>
      <c r="E19" s="164"/>
      <c r="F19" s="164"/>
      <c r="G19" s="77"/>
      <c r="H19" s="66"/>
      <c r="I19" s="164" t="s">
        <v>208</v>
      </c>
      <c r="J19" s="164"/>
      <c r="K19" s="164"/>
      <c r="L19" s="164"/>
      <c r="M19" s="164"/>
      <c r="N19" s="77"/>
    </row>
    <row r="20" spans="1:14" ht="16.899999999999999" customHeight="1" x14ac:dyDescent="0.4">
      <c r="B20" s="36"/>
      <c r="C20" s="37"/>
      <c r="D20" s="37"/>
      <c r="E20" s="37"/>
      <c r="F20" s="37"/>
      <c r="G20" s="36"/>
      <c r="I20" s="36"/>
      <c r="J20" s="37"/>
      <c r="K20" s="37"/>
      <c r="L20" s="37"/>
      <c r="M20" s="37"/>
      <c r="N20" s="36"/>
    </row>
    <row r="21" spans="1:14" ht="16.899999999999999" customHeight="1" x14ac:dyDescent="0.4">
      <c r="B21" s="36"/>
      <c r="C21" s="37"/>
      <c r="D21" s="37"/>
      <c r="E21" s="37"/>
      <c r="F21" s="37"/>
      <c r="G21" s="36"/>
      <c r="I21" s="36"/>
      <c r="J21" s="37"/>
      <c r="K21" s="37"/>
      <c r="L21" s="37"/>
      <c r="M21" s="37"/>
      <c r="N21" s="36"/>
    </row>
    <row r="22" spans="1:14" ht="16.899999999999999" customHeight="1" x14ac:dyDescent="0.4">
      <c r="B22" s="36"/>
      <c r="C22" s="37"/>
      <c r="D22" s="37"/>
      <c r="E22" s="37"/>
      <c r="F22" s="37"/>
      <c r="G22" s="36"/>
      <c r="I22" s="36"/>
      <c r="J22" s="37"/>
      <c r="K22" s="37"/>
      <c r="L22" s="37"/>
      <c r="M22" s="37"/>
      <c r="N22" s="36"/>
    </row>
    <row r="23" spans="1:14" ht="16.899999999999999" customHeight="1" x14ac:dyDescent="0.4">
      <c r="B23" s="36"/>
      <c r="C23" s="37"/>
      <c r="D23" s="37"/>
      <c r="E23" s="37"/>
      <c r="F23" s="37"/>
      <c r="G23" s="36"/>
      <c r="I23" s="36"/>
      <c r="J23" s="37"/>
      <c r="K23" s="37"/>
      <c r="L23" s="37"/>
      <c r="M23" s="37"/>
      <c r="N23" s="36"/>
    </row>
    <row r="24" spans="1:14" ht="16.899999999999999" customHeight="1" x14ac:dyDescent="0.4">
      <c r="B24" s="36"/>
      <c r="C24" s="37"/>
      <c r="D24" s="37"/>
      <c r="E24" s="37"/>
      <c r="F24" s="37"/>
      <c r="G24" s="36"/>
      <c r="I24" s="36"/>
      <c r="J24" s="37"/>
      <c r="K24" s="37"/>
      <c r="L24" s="37"/>
      <c r="M24" s="37"/>
      <c r="N24" s="36"/>
    </row>
    <row r="25" spans="1:14" ht="16.899999999999999" customHeight="1" x14ac:dyDescent="0.4">
      <c r="B25" s="36"/>
      <c r="C25" s="37"/>
      <c r="D25" s="37"/>
      <c r="E25" s="37"/>
      <c r="F25" s="37"/>
      <c r="G25" s="36"/>
      <c r="I25" s="36"/>
      <c r="J25" s="37"/>
      <c r="K25" s="37"/>
      <c r="L25" s="37"/>
      <c r="M25" s="37"/>
      <c r="N25" s="36"/>
    </row>
    <row r="26" spans="1:14" ht="16.899999999999999" customHeight="1" x14ac:dyDescent="0.4">
      <c r="B26" s="36"/>
      <c r="C26" s="37"/>
      <c r="D26" s="37"/>
      <c r="E26" s="37"/>
      <c r="F26" s="37"/>
      <c r="G26" s="36"/>
      <c r="I26" s="36"/>
      <c r="J26" s="37"/>
      <c r="K26" s="37"/>
      <c r="L26" s="37"/>
      <c r="M26" s="37"/>
      <c r="N26" s="36"/>
    </row>
    <row r="27" spans="1:14" ht="47.25" customHeight="1" x14ac:dyDescent="0.4">
      <c r="A27" s="66"/>
      <c r="B27" s="180" t="s">
        <v>96</v>
      </c>
      <c r="C27" s="180"/>
      <c r="D27" s="180"/>
      <c r="E27" s="180"/>
      <c r="F27" s="180"/>
      <c r="G27" s="66"/>
      <c r="H27" s="66"/>
      <c r="I27" s="180" t="s">
        <v>96</v>
      </c>
      <c r="J27" s="180"/>
      <c r="K27" s="180"/>
      <c r="L27" s="180"/>
      <c r="M27" s="180"/>
    </row>
    <row r="28" spans="1:14" ht="21" customHeight="1" x14ac:dyDescent="0.4">
      <c r="A28" s="66"/>
      <c r="B28" s="181" t="s">
        <v>97</v>
      </c>
      <c r="C28" s="181"/>
      <c r="D28" s="181"/>
      <c r="E28" s="181"/>
      <c r="F28" s="181"/>
      <c r="G28" s="67"/>
      <c r="H28" s="66"/>
      <c r="I28" s="181" t="s">
        <v>97</v>
      </c>
      <c r="J28" s="181"/>
      <c r="K28" s="181"/>
      <c r="L28" s="181"/>
      <c r="M28" s="181"/>
      <c r="N28" s="24"/>
    </row>
    <row r="29" spans="1:14" ht="21" customHeight="1" x14ac:dyDescent="0.4">
      <c r="A29" s="66"/>
      <c r="B29" s="181" t="s">
        <v>98</v>
      </c>
      <c r="C29" s="181"/>
      <c r="D29" s="181"/>
      <c r="E29" s="181"/>
      <c r="F29" s="181"/>
      <c r="G29" s="67"/>
      <c r="H29" s="66"/>
      <c r="I29" s="181" t="s">
        <v>98</v>
      </c>
      <c r="J29" s="181"/>
      <c r="K29" s="181"/>
      <c r="L29" s="181"/>
      <c r="M29" s="181"/>
      <c r="N29" s="24"/>
    </row>
    <row r="30" spans="1:14" ht="21" customHeight="1" x14ac:dyDescent="0.4">
      <c r="A30" s="66"/>
      <c r="B30" s="181" t="s">
        <v>245</v>
      </c>
      <c r="C30" s="181"/>
      <c r="D30" s="181"/>
      <c r="E30" s="181"/>
      <c r="F30" s="181"/>
      <c r="G30" s="67"/>
      <c r="H30" s="66"/>
      <c r="I30" s="186" t="s">
        <v>245</v>
      </c>
      <c r="J30" s="186"/>
      <c r="K30" s="186"/>
      <c r="L30" s="186"/>
      <c r="M30" s="186"/>
      <c r="N30" s="24"/>
    </row>
    <row r="31" spans="1:14" ht="18" customHeight="1" x14ac:dyDescent="0.4">
      <c r="A31" s="66"/>
      <c r="B31" s="174" t="s">
        <v>100</v>
      </c>
      <c r="C31" s="175"/>
      <c r="D31" s="175"/>
      <c r="E31" s="175"/>
      <c r="F31" s="176"/>
      <c r="G31" s="72"/>
      <c r="H31" s="66"/>
      <c r="I31" s="174" t="s">
        <v>100</v>
      </c>
      <c r="J31" s="175"/>
      <c r="K31" s="175"/>
      <c r="L31" s="175"/>
      <c r="M31" s="176"/>
      <c r="N31" s="32"/>
    </row>
    <row r="32" spans="1:14" ht="18" customHeight="1" x14ac:dyDescent="0.4">
      <c r="A32" s="66"/>
      <c r="B32" s="177" t="s">
        <v>101</v>
      </c>
      <c r="C32" s="178"/>
      <c r="D32" s="178"/>
      <c r="E32" s="178"/>
      <c r="F32" s="179"/>
      <c r="G32" s="72"/>
      <c r="H32" s="66"/>
      <c r="I32" s="177" t="s">
        <v>101</v>
      </c>
      <c r="J32" s="178"/>
      <c r="K32" s="178"/>
      <c r="L32" s="178"/>
      <c r="M32" s="179"/>
      <c r="N32" s="32"/>
    </row>
    <row r="33" spans="1:14" ht="18" customHeight="1" x14ac:dyDescent="0.4">
      <c r="A33" s="66"/>
      <c r="B33" s="166" t="s">
        <v>246</v>
      </c>
      <c r="C33" s="167"/>
      <c r="D33" s="167"/>
      <c r="E33" s="167"/>
      <c r="F33" s="78">
        <v>0</v>
      </c>
      <c r="G33" s="66"/>
      <c r="H33" s="66"/>
      <c r="I33" s="166" t="s">
        <v>246</v>
      </c>
      <c r="J33" s="167"/>
      <c r="K33" s="167"/>
      <c r="L33" s="167"/>
      <c r="M33" s="79">
        <v>0</v>
      </c>
    </row>
    <row r="34" spans="1:14" ht="18" customHeight="1" x14ac:dyDescent="0.4">
      <c r="A34" s="66"/>
      <c r="B34" s="166" t="s">
        <v>211</v>
      </c>
      <c r="C34" s="167"/>
      <c r="D34" s="167"/>
      <c r="E34" s="167"/>
      <c r="F34" s="68">
        <v>0</v>
      </c>
      <c r="G34" s="66"/>
      <c r="H34" s="66"/>
      <c r="I34" s="166" t="s">
        <v>211</v>
      </c>
      <c r="J34" s="167"/>
      <c r="K34" s="167"/>
      <c r="L34" s="167"/>
      <c r="M34" s="68">
        <v>0</v>
      </c>
    </row>
    <row r="35" spans="1:14" ht="18" customHeight="1" x14ac:dyDescent="0.4">
      <c r="A35" s="66"/>
      <c r="B35" s="166" t="s">
        <v>212</v>
      </c>
      <c r="C35" s="167"/>
      <c r="D35" s="167"/>
      <c r="E35" s="167"/>
      <c r="F35" s="68">
        <v>0</v>
      </c>
      <c r="G35" s="66"/>
      <c r="H35" s="66"/>
      <c r="I35" s="166" t="s">
        <v>213</v>
      </c>
      <c r="J35" s="167"/>
      <c r="K35" s="167"/>
      <c r="L35" s="167"/>
      <c r="M35" s="68">
        <v>0</v>
      </c>
    </row>
    <row r="36" spans="1:14" ht="18" customHeight="1" x14ac:dyDescent="0.4">
      <c r="A36" s="66"/>
      <c r="B36" s="166" t="s">
        <v>214</v>
      </c>
      <c r="C36" s="167"/>
      <c r="D36" s="167"/>
      <c r="E36" s="167"/>
      <c r="F36" s="68">
        <v>0</v>
      </c>
      <c r="G36" s="66"/>
      <c r="H36" s="66"/>
      <c r="I36" s="166" t="s">
        <v>214</v>
      </c>
      <c r="J36" s="167"/>
      <c r="K36" s="167"/>
      <c r="L36" s="167"/>
      <c r="M36" s="68">
        <v>0</v>
      </c>
    </row>
    <row r="37" spans="1:14" ht="18" customHeight="1" x14ac:dyDescent="0.4">
      <c r="A37" s="66"/>
      <c r="B37" s="172" t="s">
        <v>107</v>
      </c>
      <c r="C37" s="173"/>
      <c r="D37" s="173"/>
      <c r="E37" s="173"/>
      <c r="F37" s="69"/>
      <c r="G37" s="66"/>
      <c r="H37" s="66"/>
      <c r="I37" s="172" t="s">
        <v>107</v>
      </c>
      <c r="J37" s="173"/>
      <c r="K37" s="173"/>
      <c r="L37" s="173"/>
      <c r="M37" s="69"/>
    </row>
    <row r="38" spans="1:14" ht="18" customHeight="1" x14ac:dyDescent="0.4">
      <c r="A38" s="66"/>
      <c r="B38" s="166" t="s">
        <v>215</v>
      </c>
      <c r="C38" s="167"/>
      <c r="D38" s="167"/>
      <c r="E38" s="167"/>
      <c r="F38" s="68">
        <v>0</v>
      </c>
      <c r="G38" s="66"/>
      <c r="H38" s="66"/>
      <c r="I38" s="166" t="s">
        <v>215</v>
      </c>
      <c r="J38" s="167"/>
      <c r="K38" s="167"/>
      <c r="L38" s="167"/>
      <c r="M38" s="68">
        <v>0</v>
      </c>
    </row>
    <row r="39" spans="1:14" ht="18" customHeight="1" x14ac:dyDescent="0.4">
      <c r="A39" s="66"/>
      <c r="B39" s="166" t="s">
        <v>216</v>
      </c>
      <c r="C39" s="167"/>
      <c r="D39" s="167"/>
      <c r="E39" s="167"/>
      <c r="F39" s="68">
        <v>0</v>
      </c>
      <c r="G39" s="66"/>
      <c r="H39" s="66"/>
      <c r="I39" s="166" t="s">
        <v>216</v>
      </c>
      <c r="J39" s="167"/>
      <c r="K39" s="167"/>
      <c r="L39" s="167"/>
      <c r="M39" s="68">
        <v>0</v>
      </c>
    </row>
    <row r="40" spans="1:14" ht="28.5" customHeight="1" x14ac:dyDescent="0.4">
      <c r="A40" s="66"/>
      <c r="B40" s="166" t="s">
        <v>217</v>
      </c>
      <c r="C40" s="167"/>
      <c r="D40" s="167"/>
      <c r="E40" s="167"/>
      <c r="F40" s="68">
        <v>0</v>
      </c>
      <c r="G40" s="66"/>
      <c r="H40" s="66"/>
      <c r="I40" s="166" t="s">
        <v>217</v>
      </c>
      <c r="J40" s="167"/>
      <c r="K40" s="167"/>
      <c r="L40" s="167"/>
      <c r="M40" s="68">
        <v>0</v>
      </c>
      <c r="N40" s="39"/>
    </row>
    <row r="41" spans="1:14" ht="22.5" customHeight="1" x14ac:dyDescent="0.3">
      <c r="A41" s="66"/>
      <c r="B41" s="166" t="s">
        <v>218</v>
      </c>
      <c r="C41" s="167"/>
      <c r="D41" s="167"/>
      <c r="E41" s="167"/>
      <c r="F41" s="68">
        <v>0</v>
      </c>
      <c r="G41" s="66"/>
      <c r="H41" s="66"/>
      <c r="I41" s="166" t="s">
        <v>218</v>
      </c>
      <c r="J41" s="167"/>
      <c r="K41" s="167"/>
      <c r="L41" s="167"/>
      <c r="M41" s="68">
        <v>0</v>
      </c>
      <c r="N41" s="34"/>
    </row>
    <row r="42" spans="1:14" ht="42.75" customHeight="1" x14ac:dyDescent="0.4">
      <c r="A42" s="66"/>
      <c r="B42" s="168" t="s">
        <v>112</v>
      </c>
      <c r="C42" s="169"/>
      <c r="D42" s="169"/>
      <c r="E42" s="169"/>
      <c r="F42" s="70">
        <f>SUM(F33:F36)-SUM(F38:F41)</f>
        <v>0</v>
      </c>
      <c r="G42" s="80"/>
      <c r="H42" s="66"/>
      <c r="I42" s="168" t="s">
        <v>112</v>
      </c>
      <c r="J42" s="169"/>
      <c r="K42" s="169"/>
      <c r="L42" s="169"/>
      <c r="M42" s="70">
        <f>SUM(M33:M36)-SUM(M38:M41)</f>
        <v>0</v>
      </c>
      <c r="N42" s="35"/>
    </row>
    <row r="43" spans="1:14" ht="31.5" customHeight="1" x14ac:dyDescent="0.3">
      <c r="A43" s="66"/>
      <c r="B43" s="170" t="s">
        <v>247</v>
      </c>
      <c r="C43" s="170"/>
      <c r="D43" s="170"/>
      <c r="E43" s="170"/>
      <c r="F43" s="170"/>
      <c r="G43" s="74"/>
      <c r="H43" s="66"/>
      <c r="I43" s="171" t="s">
        <v>247</v>
      </c>
      <c r="J43" s="171"/>
      <c r="K43" s="171"/>
      <c r="L43" s="171"/>
      <c r="M43" s="171"/>
      <c r="N43" s="40"/>
    </row>
    <row r="44" spans="1:14" ht="28.5" customHeight="1" x14ac:dyDescent="0.3">
      <c r="A44" s="66"/>
      <c r="B44" s="163" t="s">
        <v>114</v>
      </c>
      <c r="C44" s="163"/>
      <c r="D44" s="163"/>
      <c r="E44" s="163"/>
      <c r="F44" s="163"/>
      <c r="G44" s="75"/>
      <c r="H44" s="66"/>
      <c r="I44" s="163" t="s">
        <v>114</v>
      </c>
      <c r="J44" s="163"/>
      <c r="K44" s="163"/>
      <c r="L44" s="163"/>
      <c r="M44" s="163"/>
      <c r="N44" s="40"/>
    </row>
    <row r="45" spans="1:14" ht="17.100000000000001" customHeight="1" x14ac:dyDescent="0.4">
      <c r="B45" s="161"/>
      <c r="C45" s="161"/>
      <c r="D45" s="161"/>
      <c r="E45" s="161"/>
      <c r="F45" s="161"/>
      <c r="G45" s="40"/>
      <c r="I45" s="162"/>
      <c r="J45" s="162"/>
      <c r="K45" s="162"/>
      <c r="L45" s="162"/>
      <c r="M45" s="162"/>
      <c r="N45" s="40"/>
    </row>
    <row r="46" spans="1:14" ht="17.100000000000001" customHeight="1" x14ac:dyDescent="0.4">
      <c r="B46" s="119" t="s">
        <v>220</v>
      </c>
      <c r="C46" s="119"/>
      <c r="D46" s="119"/>
      <c r="E46" s="119"/>
      <c r="F46" s="119"/>
      <c r="G46" s="40"/>
      <c r="I46" s="119" t="s">
        <v>220</v>
      </c>
      <c r="J46" s="119"/>
      <c r="K46" s="119"/>
      <c r="L46" s="119"/>
      <c r="M46" s="119"/>
      <c r="N46" s="40"/>
    </row>
    <row r="47" spans="1:14" ht="17.100000000000001" customHeight="1" x14ac:dyDescent="0.4">
      <c r="B47" s="40"/>
      <c r="C47" s="37"/>
      <c r="D47" s="37"/>
      <c r="E47" s="37"/>
      <c r="F47" s="37"/>
      <c r="G47" s="40"/>
      <c r="I47" s="40"/>
      <c r="J47" s="37"/>
      <c r="K47" s="37"/>
      <c r="L47" s="37"/>
      <c r="M47" s="37"/>
      <c r="N47" s="40"/>
    </row>
    <row r="48" spans="1:14" ht="17.100000000000001" customHeight="1" x14ac:dyDescent="0.4">
      <c r="B48" s="40"/>
      <c r="C48" s="37"/>
      <c r="D48" s="37"/>
      <c r="E48" s="37"/>
      <c r="F48" s="37"/>
      <c r="G48" s="40"/>
      <c r="I48" s="40"/>
      <c r="J48" s="37"/>
      <c r="K48" s="37"/>
      <c r="L48" s="37"/>
      <c r="M48" s="37"/>
      <c r="N48" s="40"/>
    </row>
    <row r="49" spans="1:14" ht="17.100000000000001" customHeight="1" x14ac:dyDescent="0.4">
      <c r="B49" s="40"/>
      <c r="C49" s="37"/>
      <c r="D49" s="37"/>
      <c r="E49" s="37"/>
      <c r="F49" s="37"/>
      <c r="G49" s="40"/>
      <c r="I49" s="40"/>
      <c r="J49" s="37"/>
      <c r="K49" s="37"/>
      <c r="L49" s="37"/>
      <c r="M49" s="37"/>
      <c r="N49" s="40"/>
    </row>
    <row r="50" spans="1:14" ht="17.100000000000001" customHeight="1" x14ac:dyDescent="0.4">
      <c r="B50" s="40"/>
      <c r="C50" s="37"/>
      <c r="D50" s="37"/>
      <c r="E50" s="37"/>
      <c r="F50" s="37"/>
      <c r="G50" s="40"/>
      <c r="I50" s="40"/>
      <c r="J50" s="37"/>
      <c r="K50" s="37"/>
      <c r="L50" s="37"/>
      <c r="M50" s="37"/>
      <c r="N50" s="40"/>
    </row>
    <row r="51" spans="1:14" ht="17.100000000000001" customHeight="1" x14ac:dyDescent="0.4">
      <c r="B51" s="40"/>
      <c r="C51" s="37"/>
      <c r="D51" s="37"/>
      <c r="E51" s="37"/>
      <c r="F51" s="37"/>
      <c r="G51" s="40"/>
      <c r="I51" s="40"/>
      <c r="J51" s="37"/>
      <c r="K51" s="37"/>
      <c r="L51" s="37"/>
      <c r="M51" s="37"/>
      <c r="N51" s="40"/>
    </row>
    <row r="52" spans="1:14" ht="17.100000000000001" customHeight="1" x14ac:dyDescent="0.4">
      <c r="B52" s="40"/>
      <c r="C52" s="37"/>
      <c r="D52" s="37"/>
      <c r="E52" s="37"/>
      <c r="F52" s="37"/>
      <c r="G52" s="40"/>
      <c r="I52" s="40"/>
      <c r="J52" s="37"/>
      <c r="K52" s="37"/>
      <c r="L52" s="37"/>
      <c r="M52" s="37"/>
      <c r="N52" s="40"/>
    </row>
    <row r="53" spans="1:14" ht="17.100000000000001" customHeight="1" x14ac:dyDescent="0.4">
      <c r="B53" s="40"/>
      <c r="C53" s="37"/>
      <c r="D53" s="37"/>
      <c r="E53" s="37"/>
      <c r="F53" s="37"/>
      <c r="G53" s="40"/>
      <c r="I53" s="40"/>
      <c r="J53" s="37"/>
      <c r="K53" s="37"/>
      <c r="L53" s="37"/>
      <c r="M53" s="37"/>
      <c r="N53" s="40"/>
    </row>
    <row r="54" spans="1:14" ht="47.25" customHeight="1" x14ac:dyDescent="0.4">
      <c r="B54" s="40"/>
      <c r="C54" s="37"/>
      <c r="D54" s="37"/>
      <c r="E54" s="37"/>
      <c r="F54" s="37"/>
      <c r="G54" s="40"/>
      <c r="I54" s="40"/>
      <c r="J54" s="37"/>
      <c r="K54" s="37"/>
      <c r="L54" s="37"/>
      <c r="M54" s="37"/>
    </row>
    <row r="55" spans="1:14" ht="21" hidden="1" customHeight="1" x14ac:dyDescent="0.4">
      <c r="B55" s="40"/>
      <c r="C55" s="37"/>
      <c r="D55" s="37"/>
      <c r="E55" s="37"/>
      <c r="F55" s="37"/>
      <c r="G55" s="40"/>
      <c r="I55" s="40"/>
      <c r="J55" s="37"/>
      <c r="K55" s="37"/>
      <c r="L55" s="37"/>
      <c r="M55" s="37"/>
      <c r="N55" s="24"/>
    </row>
    <row r="56" spans="1:14" ht="20.25" customHeight="1" x14ac:dyDescent="0.4">
      <c r="A56" s="66"/>
      <c r="B56" s="81"/>
      <c r="C56" s="76"/>
      <c r="D56" s="76"/>
      <c r="E56" s="76"/>
      <c r="F56" s="76"/>
      <c r="G56" s="66"/>
      <c r="H56" s="66"/>
      <c r="I56" s="81"/>
      <c r="J56" s="76"/>
      <c r="K56" s="76"/>
      <c r="L56" s="76"/>
      <c r="M56" s="76"/>
      <c r="N56" s="24"/>
    </row>
    <row r="57" spans="1:14" ht="45.75" customHeight="1" x14ac:dyDescent="0.4">
      <c r="A57" s="66"/>
      <c r="B57" s="180" t="s">
        <v>96</v>
      </c>
      <c r="C57" s="180"/>
      <c r="D57" s="180"/>
      <c r="E57" s="180"/>
      <c r="F57" s="180"/>
      <c r="G57" s="67"/>
      <c r="H57" s="66"/>
      <c r="I57" s="193" t="s">
        <v>96</v>
      </c>
      <c r="J57" s="193"/>
      <c r="K57" s="193"/>
      <c r="L57" s="193"/>
      <c r="M57" s="193"/>
      <c r="N57" s="24"/>
    </row>
    <row r="58" spans="1:14" ht="18" customHeight="1" x14ac:dyDescent="0.4">
      <c r="A58" s="66"/>
      <c r="B58" s="181" t="s">
        <v>97</v>
      </c>
      <c r="C58" s="181"/>
      <c r="D58" s="181"/>
      <c r="E58" s="181"/>
      <c r="F58" s="181"/>
      <c r="G58" s="67"/>
      <c r="H58" s="66"/>
      <c r="I58" s="186" t="s">
        <v>97</v>
      </c>
      <c r="J58" s="186"/>
      <c r="K58" s="186"/>
      <c r="L58" s="186"/>
      <c r="M58" s="186"/>
    </row>
    <row r="59" spans="1:14" ht="18" customHeight="1" x14ac:dyDescent="0.4">
      <c r="A59" s="66"/>
      <c r="B59" s="181" t="s">
        <v>98</v>
      </c>
      <c r="C59" s="181"/>
      <c r="D59" s="181"/>
      <c r="E59" s="181"/>
      <c r="F59" s="181"/>
      <c r="G59" s="67"/>
      <c r="H59" s="66"/>
      <c r="I59" s="186" t="s">
        <v>98</v>
      </c>
      <c r="J59" s="186"/>
      <c r="K59" s="186"/>
      <c r="L59" s="186"/>
      <c r="M59" s="186"/>
    </row>
    <row r="60" spans="1:14" ht="18" customHeight="1" x14ac:dyDescent="0.4">
      <c r="A60" s="66"/>
      <c r="B60" s="181" t="s">
        <v>221</v>
      </c>
      <c r="C60" s="181"/>
      <c r="D60" s="181"/>
      <c r="E60" s="181"/>
      <c r="F60" s="181"/>
      <c r="G60" s="66"/>
      <c r="H60" s="66"/>
      <c r="I60" s="194" t="s">
        <v>221</v>
      </c>
      <c r="J60" s="194"/>
      <c r="K60" s="194"/>
      <c r="L60" s="194"/>
      <c r="M60" s="194"/>
    </row>
    <row r="61" spans="1:14" ht="18" customHeight="1" x14ac:dyDescent="0.4">
      <c r="A61" s="66"/>
      <c r="B61" s="174" t="s">
        <v>100</v>
      </c>
      <c r="C61" s="175"/>
      <c r="D61" s="175"/>
      <c r="E61" s="175"/>
      <c r="F61" s="176"/>
      <c r="G61" s="66"/>
      <c r="H61" s="66"/>
      <c r="I61" s="174" t="s">
        <v>100</v>
      </c>
      <c r="J61" s="175"/>
      <c r="K61" s="175"/>
      <c r="L61" s="175"/>
      <c r="M61" s="176"/>
    </row>
    <row r="62" spans="1:14" x14ac:dyDescent="0.4">
      <c r="A62" s="66"/>
      <c r="B62" s="177" t="s">
        <v>101</v>
      </c>
      <c r="C62" s="178"/>
      <c r="D62" s="178"/>
      <c r="E62" s="178"/>
      <c r="F62" s="179"/>
      <c r="G62" s="66"/>
      <c r="H62" s="66"/>
      <c r="I62" s="177" t="s">
        <v>101</v>
      </c>
      <c r="J62" s="178"/>
      <c r="K62" s="178"/>
      <c r="L62" s="178"/>
      <c r="M62" s="179"/>
    </row>
    <row r="63" spans="1:14" x14ac:dyDescent="0.4">
      <c r="A63" s="66"/>
      <c r="B63" s="166" t="s">
        <v>248</v>
      </c>
      <c r="C63" s="167"/>
      <c r="D63" s="167"/>
      <c r="E63" s="167"/>
      <c r="F63" s="78">
        <v>2000</v>
      </c>
      <c r="G63" s="66"/>
      <c r="H63" s="66"/>
      <c r="I63" s="166" t="s">
        <v>248</v>
      </c>
      <c r="J63" s="167"/>
      <c r="K63" s="167"/>
      <c r="L63" s="167"/>
      <c r="M63" s="78">
        <v>2000</v>
      </c>
    </row>
    <row r="64" spans="1:14" ht="18" customHeight="1" x14ac:dyDescent="0.4">
      <c r="A64" s="66"/>
      <c r="B64" s="184" t="s">
        <v>222</v>
      </c>
      <c r="C64" s="185"/>
      <c r="D64" s="185"/>
      <c r="E64" s="185"/>
      <c r="F64" s="68">
        <v>402.43</v>
      </c>
      <c r="G64" s="66"/>
      <c r="H64" s="66"/>
      <c r="I64" s="184" t="s">
        <v>222</v>
      </c>
      <c r="J64" s="185"/>
      <c r="K64" s="185"/>
      <c r="L64" s="185"/>
      <c r="M64" s="68">
        <v>402.43</v>
      </c>
    </row>
    <row r="65" spans="1:14" ht="18" customHeight="1" x14ac:dyDescent="0.4">
      <c r="A65" s="66"/>
      <c r="B65" s="184" t="s">
        <v>106</v>
      </c>
      <c r="C65" s="185"/>
      <c r="D65" s="185"/>
      <c r="E65" s="185"/>
      <c r="F65" s="68">
        <v>7.53</v>
      </c>
      <c r="G65" s="66"/>
      <c r="H65" s="66"/>
      <c r="I65" s="184" t="s">
        <v>106</v>
      </c>
      <c r="J65" s="185"/>
      <c r="K65" s="185"/>
      <c r="L65" s="185"/>
      <c r="M65" s="68">
        <v>7.53</v>
      </c>
    </row>
    <row r="66" spans="1:14" ht="18" customHeight="1" x14ac:dyDescent="0.4">
      <c r="A66" s="66"/>
      <c r="B66" s="184" t="s">
        <v>223</v>
      </c>
      <c r="C66" s="185"/>
      <c r="D66" s="185"/>
      <c r="E66" s="185"/>
      <c r="F66" s="78">
        <v>0</v>
      </c>
      <c r="G66" s="66"/>
      <c r="H66" s="66"/>
      <c r="I66" s="184" t="s">
        <v>223</v>
      </c>
      <c r="J66" s="185"/>
      <c r="K66" s="185"/>
      <c r="L66" s="185"/>
      <c r="M66" s="78">
        <v>0</v>
      </c>
    </row>
    <row r="67" spans="1:14" ht="18" customHeight="1" x14ac:dyDescent="0.4">
      <c r="A67" s="66"/>
      <c r="B67" s="172" t="s">
        <v>107</v>
      </c>
      <c r="C67" s="173"/>
      <c r="D67" s="173"/>
      <c r="E67" s="173"/>
      <c r="F67" s="69"/>
      <c r="G67" s="66"/>
      <c r="H67" s="66"/>
      <c r="I67" s="172" t="s">
        <v>107</v>
      </c>
      <c r="J67" s="173"/>
      <c r="K67" s="173"/>
      <c r="L67" s="173"/>
      <c r="M67" s="69"/>
    </row>
    <row r="68" spans="1:14" ht="21.75" customHeight="1" x14ac:dyDescent="0.4">
      <c r="A68" s="66"/>
      <c r="B68" s="166" t="s">
        <v>109</v>
      </c>
      <c r="C68" s="167"/>
      <c r="D68" s="167"/>
      <c r="E68" s="167"/>
      <c r="F68" s="68">
        <v>154.32</v>
      </c>
      <c r="G68" s="66"/>
      <c r="H68" s="66"/>
      <c r="I68" s="166" t="s">
        <v>109</v>
      </c>
      <c r="J68" s="167"/>
      <c r="K68" s="167"/>
      <c r="L68" s="167"/>
      <c r="M68" s="68">
        <v>154.32</v>
      </c>
      <c r="N68" s="39"/>
    </row>
    <row r="69" spans="1:14" ht="27.75" customHeight="1" x14ac:dyDescent="0.3">
      <c r="A69" s="66"/>
      <c r="B69" s="166" t="s">
        <v>249</v>
      </c>
      <c r="C69" s="167"/>
      <c r="D69" s="167"/>
      <c r="E69" s="167"/>
      <c r="F69" s="68">
        <v>16.899999999999999</v>
      </c>
      <c r="G69" s="66"/>
      <c r="H69" s="66"/>
      <c r="I69" s="166" t="s">
        <v>249</v>
      </c>
      <c r="J69" s="167"/>
      <c r="K69" s="167"/>
      <c r="L69" s="167"/>
      <c r="M69" s="68">
        <v>16.899999999999999</v>
      </c>
      <c r="N69" s="34"/>
    </row>
    <row r="70" spans="1:14" ht="22.5" customHeight="1" x14ac:dyDescent="0.4">
      <c r="A70" s="66"/>
      <c r="B70" s="166" t="s">
        <v>224</v>
      </c>
      <c r="C70" s="167"/>
      <c r="D70" s="167"/>
      <c r="E70" s="167"/>
      <c r="F70" s="68">
        <v>22.55</v>
      </c>
      <c r="G70" s="66"/>
      <c r="H70" s="66"/>
      <c r="I70" s="166" t="s">
        <v>224</v>
      </c>
      <c r="J70" s="167"/>
      <c r="K70" s="167"/>
      <c r="L70" s="167"/>
      <c r="M70" s="68">
        <v>22.55</v>
      </c>
      <c r="N70" s="35"/>
    </row>
    <row r="71" spans="1:14" ht="30.75" customHeight="1" x14ac:dyDescent="0.4">
      <c r="A71" s="66"/>
      <c r="B71" s="166" t="s">
        <v>225</v>
      </c>
      <c r="C71" s="167"/>
      <c r="D71" s="167"/>
      <c r="E71" s="167"/>
      <c r="F71" s="68">
        <v>800</v>
      </c>
      <c r="G71" s="80"/>
      <c r="H71" s="66"/>
      <c r="I71" s="166" t="s">
        <v>225</v>
      </c>
      <c r="J71" s="167"/>
      <c r="K71" s="167"/>
      <c r="L71" s="167"/>
      <c r="M71" s="68">
        <v>800</v>
      </c>
      <c r="N71" s="36"/>
    </row>
    <row r="72" spans="1:14" ht="58.5" customHeight="1" x14ac:dyDescent="0.3">
      <c r="A72" s="66"/>
      <c r="B72" s="182" t="s">
        <v>112</v>
      </c>
      <c r="C72" s="183"/>
      <c r="D72" s="183"/>
      <c r="E72" s="183"/>
      <c r="F72" s="70">
        <f>SUM(F63:F66)-SUM(F68:F71)</f>
        <v>1416.19</v>
      </c>
      <c r="G72" s="74"/>
      <c r="H72" s="66"/>
      <c r="I72" s="195" t="s">
        <v>112</v>
      </c>
      <c r="J72" s="196"/>
      <c r="K72" s="196"/>
      <c r="L72" s="196"/>
      <c r="M72" s="82">
        <f>SUM(M63:M66)-SUM(M68:M71)</f>
        <v>1416.19</v>
      </c>
      <c r="N72" s="36"/>
    </row>
    <row r="73" spans="1:14" ht="31.5" customHeight="1" x14ac:dyDescent="0.4">
      <c r="A73" s="66"/>
      <c r="B73" s="170" t="s">
        <v>250</v>
      </c>
      <c r="C73" s="170"/>
      <c r="D73" s="170"/>
      <c r="E73" s="170"/>
      <c r="F73" s="170"/>
      <c r="G73" s="75"/>
      <c r="H73" s="66"/>
      <c r="I73" s="192" t="s">
        <v>250</v>
      </c>
      <c r="J73" s="192"/>
      <c r="K73" s="192"/>
      <c r="L73" s="192"/>
      <c r="M73" s="192"/>
      <c r="N73" s="36"/>
    </row>
    <row r="74" spans="1:14" ht="17.100000000000001" customHeight="1" x14ac:dyDescent="0.4">
      <c r="A74" s="66"/>
      <c r="B74" s="163" t="s">
        <v>114</v>
      </c>
      <c r="C74" s="163"/>
      <c r="D74" s="163"/>
      <c r="E74" s="163"/>
      <c r="F74" s="163"/>
      <c r="G74" s="77"/>
      <c r="H74" s="66"/>
      <c r="I74" s="187" t="s">
        <v>114</v>
      </c>
      <c r="J74" s="187"/>
      <c r="K74" s="187"/>
      <c r="L74" s="187"/>
      <c r="M74" s="187"/>
      <c r="N74" s="36"/>
    </row>
    <row r="75" spans="1:14" ht="17.100000000000001" customHeight="1" x14ac:dyDescent="0.4">
      <c r="A75" s="66"/>
      <c r="B75" s="163"/>
      <c r="C75" s="163"/>
      <c r="D75" s="163"/>
      <c r="E75" s="163"/>
      <c r="F75" s="163"/>
      <c r="G75" s="77"/>
      <c r="H75" s="66"/>
      <c r="I75" s="187"/>
      <c r="J75" s="187"/>
      <c r="K75" s="187"/>
      <c r="L75" s="187"/>
      <c r="M75" s="187"/>
      <c r="N75" s="36"/>
    </row>
    <row r="76" spans="1:14" ht="17.100000000000001" customHeight="1" x14ac:dyDescent="0.4">
      <c r="B76" s="164" t="s">
        <v>227</v>
      </c>
      <c r="C76" s="164"/>
      <c r="D76" s="164"/>
      <c r="E76" s="164"/>
      <c r="F76" s="164"/>
      <c r="G76" s="36"/>
      <c r="I76" s="165" t="s">
        <v>227</v>
      </c>
      <c r="J76" s="165"/>
      <c r="K76" s="165"/>
      <c r="L76" s="165"/>
      <c r="M76" s="165"/>
      <c r="N76" s="36"/>
    </row>
    <row r="77" spans="1:14" ht="17.100000000000001" customHeight="1" x14ac:dyDescent="0.4">
      <c r="B77" s="36"/>
      <c r="C77" s="37"/>
      <c r="D77" s="37"/>
      <c r="E77" s="37"/>
      <c r="F77" s="37"/>
      <c r="G77" s="36"/>
      <c r="I77" s="36"/>
      <c r="J77" s="37"/>
      <c r="K77" s="37"/>
      <c r="L77" s="37"/>
      <c r="M77" s="37"/>
      <c r="N77" s="36"/>
    </row>
    <row r="78" spans="1:14" ht="17.100000000000001" customHeight="1" x14ac:dyDescent="0.4">
      <c r="B78" s="36"/>
      <c r="C78" s="37"/>
      <c r="D78" s="37"/>
      <c r="E78" s="37"/>
      <c r="F78" s="37"/>
      <c r="G78" s="36"/>
      <c r="I78" s="36"/>
      <c r="J78" s="37"/>
      <c r="K78" s="37"/>
      <c r="L78" s="37"/>
      <c r="M78" s="37"/>
      <c r="N78" s="36"/>
    </row>
    <row r="79" spans="1:14" ht="47.25" customHeight="1" x14ac:dyDescent="0.4">
      <c r="B79" s="36"/>
      <c r="C79" s="37"/>
      <c r="D79" s="37"/>
      <c r="E79" s="37"/>
      <c r="F79" s="37"/>
      <c r="G79" s="36"/>
      <c r="I79" s="36"/>
      <c r="J79" s="37"/>
      <c r="K79" s="37"/>
      <c r="L79" s="37"/>
      <c r="M79" s="37"/>
    </row>
    <row r="80" spans="1:14" ht="21" customHeight="1" x14ac:dyDescent="0.4">
      <c r="B80" s="36"/>
      <c r="C80" s="37"/>
      <c r="D80" s="37"/>
      <c r="E80" s="37"/>
      <c r="F80" s="37"/>
      <c r="G80" s="36"/>
      <c r="I80" s="36"/>
      <c r="J80" s="37"/>
      <c r="K80" s="37"/>
      <c r="L80" s="37"/>
      <c r="M80" s="37"/>
      <c r="N80" s="24"/>
    </row>
    <row r="81" spans="2:16" ht="21" customHeight="1" x14ac:dyDescent="0.4">
      <c r="B81" s="36"/>
      <c r="C81" s="37"/>
      <c r="D81" s="37"/>
      <c r="E81" s="37"/>
      <c r="F81" s="37"/>
      <c r="G81" s="36"/>
      <c r="I81" s="36"/>
      <c r="J81" s="37"/>
      <c r="K81" s="37"/>
      <c r="L81" s="37"/>
      <c r="M81" s="37"/>
      <c r="N81" s="24"/>
    </row>
    <row r="82" spans="2:16" ht="21" customHeight="1" x14ac:dyDescent="0.4">
      <c r="B82" s="36"/>
      <c r="C82" s="37"/>
      <c r="D82" s="37"/>
      <c r="E82" s="37"/>
      <c r="F82" s="37"/>
      <c r="G82" s="66"/>
      <c r="H82" s="66"/>
      <c r="I82" s="77"/>
      <c r="J82" s="76"/>
      <c r="K82" s="76"/>
      <c r="L82" s="76"/>
      <c r="M82" s="76"/>
      <c r="N82" s="24"/>
    </row>
    <row r="83" spans="2:16" ht="27.75" customHeight="1" x14ac:dyDescent="0.4">
      <c r="B83" s="77"/>
      <c r="C83" s="76"/>
      <c r="D83" s="76"/>
      <c r="E83" s="76"/>
      <c r="F83" s="76"/>
      <c r="G83" s="67"/>
      <c r="H83" s="66"/>
      <c r="I83" s="180"/>
      <c r="J83" s="180"/>
      <c r="K83" s="180"/>
      <c r="L83" s="180"/>
      <c r="M83" s="180"/>
      <c r="N83" s="32"/>
    </row>
    <row r="84" spans="2:16" ht="61.5" x14ac:dyDescent="0.4">
      <c r="B84" s="180" t="s">
        <v>96</v>
      </c>
      <c r="C84" s="180"/>
      <c r="D84" s="180"/>
      <c r="E84" s="180"/>
      <c r="F84" s="180"/>
      <c r="G84" s="67"/>
      <c r="H84" s="66"/>
      <c r="I84" s="193" t="s">
        <v>96</v>
      </c>
      <c r="J84" s="193"/>
      <c r="K84" s="193"/>
      <c r="L84" s="193"/>
      <c r="M84" s="193"/>
      <c r="N84" s="32"/>
      <c r="O84" s="21"/>
    </row>
    <row r="85" spans="2:16" ht="18" customHeight="1" x14ac:dyDescent="0.4">
      <c r="B85" s="181" t="s">
        <v>97</v>
      </c>
      <c r="C85" s="181"/>
      <c r="D85" s="181"/>
      <c r="E85" s="181"/>
      <c r="F85" s="181"/>
      <c r="G85" s="67"/>
      <c r="H85" s="66"/>
      <c r="I85" s="186" t="s">
        <v>97</v>
      </c>
      <c r="J85" s="186"/>
      <c r="K85" s="186"/>
      <c r="L85" s="186"/>
      <c r="M85" s="186"/>
      <c r="P85" s="21">
        <f>M89+M90</f>
        <v>1621</v>
      </c>
    </row>
    <row r="86" spans="2:16" ht="18" customHeight="1" x14ac:dyDescent="0.4">
      <c r="B86" s="181" t="s">
        <v>98</v>
      </c>
      <c r="C86" s="181"/>
      <c r="D86" s="181"/>
      <c r="E86" s="181"/>
      <c r="F86" s="181"/>
      <c r="G86" s="72"/>
      <c r="H86" s="66"/>
      <c r="I86" s="186" t="s">
        <v>98</v>
      </c>
      <c r="J86" s="186"/>
      <c r="K86" s="186"/>
      <c r="L86" s="186"/>
      <c r="M86" s="186"/>
    </row>
    <row r="87" spans="2:16" x14ac:dyDescent="0.4">
      <c r="B87" s="181" t="s">
        <v>228</v>
      </c>
      <c r="C87" s="181"/>
      <c r="D87" s="181"/>
      <c r="E87" s="181"/>
      <c r="F87" s="181"/>
      <c r="G87" s="72"/>
      <c r="H87" s="66"/>
      <c r="I87" s="194" t="s">
        <v>228</v>
      </c>
      <c r="J87" s="194"/>
      <c r="K87" s="194"/>
      <c r="L87" s="194"/>
      <c r="M87" s="194"/>
    </row>
    <row r="88" spans="2:16" ht="18" customHeight="1" x14ac:dyDescent="0.4">
      <c r="B88" s="174" t="s">
        <v>100</v>
      </c>
      <c r="C88" s="175"/>
      <c r="D88" s="175"/>
      <c r="E88" s="175"/>
      <c r="F88" s="176"/>
      <c r="G88" s="66"/>
      <c r="H88" s="66"/>
      <c r="I88" s="174" t="s">
        <v>100</v>
      </c>
      <c r="J88" s="175"/>
      <c r="K88" s="175"/>
      <c r="L88" s="175"/>
      <c r="M88" s="176"/>
    </row>
    <row r="89" spans="2:16" ht="18" customHeight="1" x14ac:dyDescent="0.4">
      <c r="B89" s="177" t="s">
        <v>101</v>
      </c>
      <c r="C89" s="178"/>
      <c r="D89" s="178"/>
      <c r="E89" s="178"/>
      <c r="F89" s="179"/>
      <c r="G89" s="66"/>
      <c r="H89" s="66"/>
      <c r="I89" s="177" t="s">
        <v>101</v>
      </c>
      <c r="J89" s="178"/>
      <c r="K89" s="178"/>
      <c r="L89" s="178"/>
      <c r="M89" s="179"/>
    </row>
    <row r="90" spans="2:16" ht="18" customHeight="1" x14ac:dyDescent="0.4">
      <c r="B90" s="166" t="s">
        <v>248</v>
      </c>
      <c r="C90" s="167"/>
      <c r="D90" s="167"/>
      <c r="E90" s="167"/>
      <c r="F90" s="78">
        <v>1621</v>
      </c>
      <c r="G90" s="66"/>
      <c r="H90" s="66"/>
      <c r="I90" s="166" t="s">
        <v>248</v>
      </c>
      <c r="J90" s="167"/>
      <c r="K90" s="167"/>
      <c r="L90" s="167"/>
      <c r="M90" s="78">
        <v>1621</v>
      </c>
    </row>
    <row r="91" spans="2:16" ht="24.75" customHeight="1" x14ac:dyDescent="0.4">
      <c r="B91" s="184" t="s">
        <v>229</v>
      </c>
      <c r="C91" s="185"/>
      <c r="D91" s="185"/>
      <c r="E91" s="185"/>
      <c r="F91" s="78">
        <v>0</v>
      </c>
      <c r="G91" s="66"/>
      <c r="H91" s="66"/>
      <c r="I91" s="184" t="s">
        <v>229</v>
      </c>
      <c r="J91" s="185"/>
      <c r="K91" s="185"/>
      <c r="L91" s="185"/>
      <c r="M91" s="78">
        <v>0</v>
      </c>
      <c r="N91" s="39"/>
    </row>
    <row r="92" spans="2:16" ht="22.5" customHeight="1" x14ac:dyDescent="0.3">
      <c r="B92" s="184" t="s">
        <v>106</v>
      </c>
      <c r="C92" s="185"/>
      <c r="D92" s="185"/>
      <c r="E92" s="185"/>
      <c r="F92" s="68">
        <v>15</v>
      </c>
      <c r="G92" s="66"/>
      <c r="H92" s="66"/>
      <c r="I92" s="184" t="s">
        <v>106</v>
      </c>
      <c r="J92" s="185"/>
      <c r="K92" s="185"/>
      <c r="L92" s="185"/>
      <c r="M92" s="68">
        <v>15</v>
      </c>
      <c r="N92" s="34"/>
    </row>
    <row r="93" spans="2:16" ht="27" customHeight="1" x14ac:dyDescent="0.4">
      <c r="B93" s="172" t="s">
        <v>107</v>
      </c>
      <c r="C93" s="173"/>
      <c r="D93" s="173"/>
      <c r="E93" s="173"/>
      <c r="F93" s="69"/>
      <c r="G93" s="66"/>
      <c r="H93" s="66"/>
      <c r="I93" s="172" t="s">
        <v>107</v>
      </c>
      <c r="J93" s="173"/>
      <c r="K93" s="173"/>
      <c r="L93" s="173"/>
      <c r="M93" s="69"/>
      <c r="N93" s="35"/>
    </row>
    <row r="94" spans="2:16" ht="17.100000000000001" customHeight="1" x14ac:dyDescent="0.4">
      <c r="B94" s="166" t="s">
        <v>225</v>
      </c>
      <c r="C94" s="167"/>
      <c r="D94" s="167"/>
      <c r="E94" s="167"/>
      <c r="F94" s="68">
        <v>500</v>
      </c>
      <c r="G94" s="80"/>
      <c r="H94" s="66"/>
      <c r="I94" s="166" t="s">
        <v>225</v>
      </c>
      <c r="J94" s="167"/>
      <c r="K94" s="167"/>
      <c r="L94" s="167"/>
      <c r="M94" s="68">
        <v>500</v>
      </c>
      <c r="N94" s="40"/>
    </row>
    <row r="95" spans="2:16" ht="47.25" customHeight="1" x14ac:dyDescent="0.3">
      <c r="B95" s="166" t="s">
        <v>251</v>
      </c>
      <c r="C95" s="167"/>
      <c r="D95" s="167"/>
      <c r="E95" s="167"/>
      <c r="F95" s="68">
        <v>216.13</v>
      </c>
      <c r="G95" s="74"/>
      <c r="H95" s="66"/>
      <c r="I95" s="188" t="s">
        <v>251</v>
      </c>
      <c r="J95" s="189"/>
      <c r="K95" s="189"/>
      <c r="L95" s="189"/>
      <c r="M95" s="83">
        <v>216.13</v>
      </c>
      <c r="N95" s="40"/>
    </row>
    <row r="96" spans="2:16" ht="17.100000000000001" customHeight="1" x14ac:dyDescent="0.4">
      <c r="B96" s="182" t="s">
        <v>112</v>
      </c>
      <c r="C96" s="183"/>
      <c r="D96" s="183"/>
      <c r="E96" s="183"/>
      <c r="F96" s="70">
        <f>SUM(F90:F92)-SUM(F94:F95)</f>
        <v>919.87</v>
      </c>
      <c r="G96" s="75"/>
      <c r="H96" s="66"/>
      <c r="I96" s="195" t="s">
        <v>112</v>
      </c>
      <c r="J96" s="196"/>
      <c r="K96" s="196"/>
      <c r="L96" s="196"/>
      <c r="M96" s="82">
        <f>SUM(M90:M92)-SUM(M94:M95)</f>
        <v>919.87</v>
      </c>
      <c r="N96" s="40"/>
    </row>
    <row r="97" spans="2:14" ht="29.25" customHeight="1" x14ac:dyDescent="0.4">
      <c r="B97" s="170" t="s">
        <v>252</v>
      </c>
      <c r="C97" s="170"/>
      <c r="D97" s="170"/>
      <c r="E97" s="170"/>
      <c r="F97" s="170"/>
      <c r="G97" s="81"/>
      <c r="H97" s="66"/>
      <c r="I97" s="192" t="s">
        <v>252</v>
      </c>
      <c r="J97" s="192"/>
      <c r="K97" s="192"/>
      <c r="L97" s="192"/>
      <c r="M97" s="192"/>
      <c r="N97" s="40"/>
    </row>
    <row r="98" spans="2:14" ht="17.100000000000001" customHeight="1" x14ac:dyDescent="0.4">
      <c r="B98" s="163" t="s">
        <v>114</v>
      </c>
      <c r="C98" s="163"/>
      <c r="D98" s="163"/>
      <c r="E98" s="163"/>
      <c r="F98" s="163"/>
      <c r="G98" s="81"/>
      <c r="H98" s="66"/>
      <c r="I98" s="187" t="s">
        <v>114</v>
      </c>
      <c r="J98" s="187"/>
      <c r="K98" s="187"/>
      <c r="L98" s="187"/>
      <c r="M98" s="187"/>
      <c r="N98" s="40"/>
    </row>
    <row r="99" spans="2:14" ht="17.100000000000001" customHeight="1" x14ac:dyDescent="0.4">
      <c r="B99" s="163"/>
      <c r="C99" s="163"/>
      <c r="D99" s="163"/>
      <c r="E99" s="163"/>
      <c r="F99" s="163"/>
      <c r="G99" s="40"/>
      <c r="I99" s="187"/>
      <c r="J99" s="187"/>
      <c r="K99" s="187"/>
      <c r="L99" s="187"/>
      <c r="M99" s="187"/>
      <c r="N99" s="40"/>
    </row>
    <row r="100" spans="2:14" ht="17.100000000000001" customHeight="1" x14ac:dyDescent="0.4">
      <c r="B100" s="164" t="s">
        <v>231</v>
      </c>
      <c r="C100" s="164"/>
      <c r="D100" s="164"/>
      <c r="E100" s="164"/>
      <c r="F100" s="164"/>
      <c r="G100" s="40"/>
      <c r="I100" s="165" t="s">
        <v>231</v>
      </c>
      <c r="J100" s="165"/>
      <c r="K100" s="165"/>
      <c r="L100" s="165"/>
      <c r="M100" s="165"/>
      <c r="N100" s="40"/>
    </row>
    <row r="101" spans="2:14" ht="17.100000000000001" customHeight="1" x14ac:dyDescent="0.4">
      <c r="B101" s="44"/>
      <c r="C101" s="44"/>
      <c r="D101" s="44"/>
      <c r="E101" s="44"/>
      <c r="F101" s="44"/>
      <c r="G101" s="40"/>
      <c r="I101" s="44"/>
      <c r="J101" s="44"/>
      <c r="K101" s="44"/>
      <c r="L101" s="44"/>
      <c r="M101" s="44"/>
      <c r="N101" s="40"/>
    </row>
    <row r="102" spans="2:14" ht="17.100000000000001" customHeight="1" x14ac:dyDescent="0.4">
      <c r="B102" s="44"/>
      <c r="C102" s="44"/>
      <c r="D102" s="44"/>
      <c r="E102" s="44"/>
      <c r="F102" s="44"/>
      <c r="G102" s="40"/>
      <c r="I102" s="44"/>
      <c r="J102" s="44"/>
      <c r="K102" s="44"/>
      <c r="L102" s="44"/>
      <c r="M102" s="44"/>
      <c r="N102" s="40"/>
    </row>
    <row r="103" spans="2:14" ht="17.100000000000001" customHeight="1" x14ac:dyDescent="0.4">
      <c r="B103" s="44"/>
      <c r="C103" s="44"/>
      <c r="D103" s="44"/>
      <c r="E103" s="44"/>
      <c r="F103" s="44"/>
      <c r="G103" s="40"/>
      <c r="I103" s="44"/>
      <c r="J103" s="44"/>
      <c r="K103" s="44"/>
      <c r="L103" s="44"/>
      <c r="M103" s="44"/>
      <c r="N103" s="40"/>
    </row>
    <row r="104" spans="2:14" ht="43.5" customHeight="1" x14ac:dyDescent="0.4">
      <c r="B104" s="44"/>
      <c r="C104" s="44"/>
      <c r="D104" s="44"/>
      <c r="E104" s="44"/>
      <c r="F104" s="44"/>
      <c r="G104" s="40"/>
      <c r="I104" s="44"/>
      <c r="J104" s="44"/>
      <c r="K104" s="44"/>
      <c r="L104" s="44"/>
      <c r="M104" s="44"/>
    </row>
    <row r="105" spans="2:14" ht="21" customHeight="1" x14ac:dyDescent="0.4">
      <c r="B105" s="44"/>
      <c r="C105" s="44"/>
      <c r="D105" s="44"/>
      <c r="E105" s="44"/>
      <c r="F105" s="44"/>
      <c r="G105" s="40"/>
      <c r="I105" s="44"/>
      <c r="J105" s="44"/>
      <c r="K105" s="44"/>
      <c r="L105" s="44"/>
      <c r="M105" s="44"/>
      <c r="N105" s="24"/>
    </row>
    <row r="106" spans="2:14" ht="18.75" customHeight="1" x14ac:dyDescent="0.4">
      <c r="B106" s="44"/>
      <c r="C106" s="44"/>
      <c r="D106" s="44"/>
      <c r="E106" s="44"/>
      <c r="F106" s="44"/>
      <c r="G106" s="40"/>
      <c r="I106" s="44"/>
      <c r="J106" s="44"/>
      <c r="K106" s="44"/>
      <c r="L106" s="44"/>
      <c r="M106" s="44"/>
      <c r="N106" s="24"/>
    </row>
    <row r="107" spans="2:14" ht="21" hidden="1" customHeight="1" x14ac:dyDescent="0.4">
      <c r="B107" s="44"/>
      <c r="C107" s="44"/>
      <c r="D107" s="44"/>
      <c r="E107" s="44"/>
      <c r="F107" s="44"/>
      <c r="I107" s="44"/>
      <c r="J107" s="44"/>
      <c r="K107" s="44"/>
      <c r="L107" s="44"/>
      <c r="M107" s="44"/>
      <c r="N107" s="24"/>
    </row>
    <row r="108" spans="2:14" ht="28.5" customHeight="1" x14ac:dyDescent="0.4">
      <c r="B108" s="44"/>
      <c r="C108" s="44"/>
      <c r="D108" s="44"/>
      <c r="E108" s="44"/>
      <c r="F108" s="44"/>
      <c r="G108" s="67"/>
      <c r="H108" s="66"/>
      <c r="I108" s="180"/>
      <c r="J108" s="180"/>
      <c r="K108" s="180"/>
      <c r="L108" s="180"/>
      <c r="M108" s="180"/>
      <c r="N108" s="32"/>
    </row>
    <row r="109" spans="2:14" ht="18" customHeight="1" x14ac:dyDescent="0.4">
      <c r="B109" s="44"/>
      <c r="C109" s="44"/>
      <c r="D109" s="44"/>
      <c r="E109" s="44"/>
      <c r="F109" s="44"/>
      <c r="G109" s="67"/>
      <c r="H109" s="66"/>
      <c r="I109" s="181"/>
      <c r="J109" s="181"/>
      <c r="K109" s="181"/>
      <c r="L109" s="181"/>
      <c r="M109" s="181"/>
      <c r="N109" s="32"/>
    </row>
    <row r="110" spans="2:14" ht="54" customHeight="1" x14ac:dyDescent="0.4">
      <c r="B110" s="180" t="s">
        <v>96</v>
      </c>
      <c r="C110" s="180"/>
      <c r="D110" s="180"/>
      <c r="E110" s="180"/>
      <c r="F110" s="180"/>
      <c r="G110" s="67"/>
      <c r="H110" s="66"/>
      <c r="I110" s="193" t="s">
        <v>96</v>
      </c>
      <c r="J110" s="193"/>
      <c r="K110" s="193"/>
      <c r="L110" s="193"/>
      <c r="M110" s="193"/>
    </row>
    <row r="111" spans="2:14" ht="18" customHeight="1" x14ac:dyDescent="0.4">
      <c r="B111" s="181" t="s">
        <v>97</v>
      </c>
      <c r="C111" s="181"/>
      <c r="D111" s="181"/>
      <c r="E111" s="181"/>
      <c r="F111" s="181"/>
      <c r="G111" s="72"/>
      <c r="H111" s="66"/>
      <c r="I111" s="186" t="s">
        <v>97</v>
      </c>
      <c r="J111" s="186"/>
      <c r="K111" s="186"/>
      <c r="L111" s="186"/>
      <c r="M111" s="186"/>
    </row>
    <row r="112" spans="2:14" ht="18" customHeight="1" x14ac:dyDescent="0.4">
      <c r="B112" s="181" t="s">
        <v>98</v>
      </c>
      <c r="C112" s="181"/>
      <c r="D112" s="181"/>
      <c r="E112" s="181"/>
      <c r="F112" s="181"/>
      <c r="G112" s="72"/>
      <c r="H112" s="66"/>
      <c r="I112" s="186" t="s">
        <v>98</v>
      </c>
      <c r="J112" s="186"/>
      <c r="K112" s="186"/>
      <c r="L112" s="186"/>
      <c r="M112" s="186"/>
    </row>
    <row r="113" spans="2:14" ht="18" customHeight="1" x14ac:dyDescent="0.4">
      <c r="B113" s="181" t="s">
        <v>232</v>
      </c>
      <c r="C113" s="181"/>
      <c r="D113" s="181"/>
      <c r="E113" s="181"/>
      <c r="F113" s="181"/>
      <c r="G113" s="66"/>
      <c r="H113" s="66"/>
      <c r="I113" s="194" t="s">
        <v>232</v>
      </c>
      <c r="J113" s="194"/>
      <c r="K113" s="194"/>
      <c r="L113" s="194"/>
      <c r="M113" s="194"/>
    </row>
    <row r="114" spans="2:14" ht="18" customHeight="1" x14ac:dyDescent="0.4">
      <c r="B114" s="174" t="s">
        <v>100</v>
      </c>
      <c r="C114" s="175"/>
      <c r="D114" s="175"/>
      <c r="E114" s="175"/>
      <c r="F114" s="176"/>
      <c r="G114" s="66"/>
      <c r="H114" s="66"/>
      <c r="I114" s="174" t="s">
        <v>100</v>
      </c>
      <c r="J114" s="175"/>
      <c r="K114" s="175"/>
      <c r="L114" s="175"/>
      <c r="M114" s="176"/>
    </row>
    <row r="115" spans="2:14" ht="18" customHeight="1" x14ac:dyDescent="0.4">
      <c r="B115" s="177" t="s">
        <v>101</v>
      </c>
      <c r="C115" s="178"/>
      <c r="D115" s="178"/>
      <c r="E115" s="178"/>
      <c r="F115" s="179"/>
      <c r="G115" s="66"/>
      <c r="H115" s="66"/>
      <c r="I115" s="177" t="s">
        <v>101</v>
      </c>
      <c r="J115" s="178"/>
      <c r="K115" s="178"/>
      <c r="L115" s="178"/>
      <c r="M115" s="179"/>
    </row>
    <row r="116" spans="2:14" ht="18" customHeight="1" x14ac:dyDescent="0.4">
      <c r="B116" s="166" t="s">
        <v>262</v>
      </c>
      <c r="C116" s="167"/>
      <c r="D116" s="167"/>
      <c r="E116" s="167"/>
      <c r="F116" s="68">
        <v>4000</v>
      </c>
      <c r="G116" s="66"/>
      <c r="H116" s="66"/>
      <c r="I116" s="166" t="s">
        <v>262</v>
      </c>
      <c r="J116" s="167"/>
      <c r="K116" s="167"/>
      <c r="L116" s="167"/>
      <c r="M116" s="68">
        <v>4000</v>
      </c>
    </row>
    <row r="117" spans="2:14" ht="18" customHeight="1" x14ac:dyDescent="0.4">
      <c r="B117" s="166" t="s">
        <v>146</v>
      </c>
      <c r="C117" s="167"/>
      <c r="D117" s="167"/>
      <c r="E117" s="167"/>
      <c r="F117" s="68">
        <v>571.5</v>
      </c>
      <c r="G117" s="66"/>
      <c r="H117" s="66"/>
      <c r="I117" s="166" t="s">
        <v>146</v>
      </c>
      <c r="J117" s="167"/>
      <c r="K117" s="167"/>
      <c r="L117" s="167"/>
      <c r="M117" s="68">
        <v>571.5</v>
      </c>
    </row>
    <row r="118" spans="2:14" ht="18" customHeight="1" x14ac:dyDescent="0.4">
      <c r="B118" s="166" t="s">
        <v>229</v>
      </c>
      <c r="C118" s="167"/>
      <c r="D118" s="167"/>
      <c r="E118" s="167"/>
      <c r="F118" s="68"/>
      <c r="G118" s="66"/>
      <c r="H118" s="66"/>
      <c r="I118" s="166" t="s">
        <v>229</v>
      </c>
      <c r="J118" s="167"/>
      <c r="K118" s="167"/>
      <c r="L118" s="167"/>
      <c r="M118" s="68"/>
    </row>
    <row r="119" spans="2:14" ht="18" customHeight="1" x14ac:dyDescent="0.4">
      <c r="B119" s="166"/>
      <c r="C119" s="167"/>
      <c r="D119" s="167"/>
      <c r="E119" s="167"/>
      <c r="F119" s="68"/>
      <c r="G119" s="66"/>
      <c r="H119" s="66"/>
      <c r="I119" s="166"/>
      <c r="J119" s="167"/>
      <c r="K119" s="167"/>
      <c r="L119" s="167"/>
      <c r="M119" s="68"/>
    </row>
    <row r="120" spans="2:14" ht="18" customHeight="1" x14ac:dyDescent="0.4">
      <c r="B120" s="166" t="s">
        <v>254</v>
      </c>
      <c r="C120" s="167"/>
      <c r="D120" s="167"/>
      <c r="E120" s="167"/>
      <c r="F120" s="68">
        <v>127.27</v>
      </c>
      <c r="G120" s="66"/>
      <c r="H120" s="66"/>
      <c r="I120" s="166" t="s">
        <v>254</v>
      </c>
      <c r="J120" s="167"/>
      <c r="K120" s="167"/>
      <c r="L120" s="167"/>
      <c r="M120" s="68">
        <v>127.27</v>
      </c>
    </row>
    <row r="121" spans="2:14" ht="18" customHeight="1" x14ac:dyDescent="0.4">
      <c r="B121" s="172" t="s">
        <v>107</v>
      </c>
      <c r="C121" s="173"/>
      <c r="D121" s="173"/>
      <c r="E121" s="173"/>
      <c r="F121" s="69"/>
      <c r="G121" s="66"/>
      <c r="H121" s="66"/>
      <c r="I121" s="172" t="s">
        <v>107</v>
      </c>
      <c r="J121" s="173"/>
      <c r="K121" s="173"/>
      <c r="L121" s="173"/>
      <c r="M121" s="69"/>
    </row>
    <row r="122" spans="2:14" ht="20.25" customHeight="1" x14ac:dyDescent="0.4">
      <c r="B122" s="166" t="s">
        <v>179</v>
      </c>
      <c r="C122" s="167"/>
      <c r="D122" s="167"/>
      <c r="E122" s="167"/>
      <c r="F122" s="68">
        <v>222.21</v>
      </c>
      <c r="G122" s="66"/>
      <c r="H122" s="66"/>
      <c r="I122" s="166" t="s">
        <v>179</v>
      </c>
      <c r="J122" s="167"/>
      <c r="K122" s="167"/>
      <c r="L122" s="167"/>
      <c r="M122" s="68">
        <v>222.21</v>
      </c>
      <c r="N122" s="39"/>
    </row>
    <row r="123" spans="2:14" ht="19.5" customHeight="1" x14ac:dyDescent="0.3">
      <c r="B123" s="166" t="s">
        <v>255</v>
      </c>
      <c r="C123" s="167"/>
      <c r="D123" s="167"/>
      <c r="E123" s="167"/>
      <c r="F123" s="68">
        <v>0</v>
      </c>
      <c r="G123" s="66"/>
      <c r="H123" s="66"/>
      <c r="I123" s="166" t="s">
        <v>255</v>
      </c>
      <c r="J123" s="167"/>
      <c r="K123" s="167"/>
      <c r="L123" s="167"/>
      <c r="M123" s="68">
        <v>0</v>
      </c>
      <c r="N123" s="34"/>
    </row>
    <row r="124" spans="2:14" ht="18" customHeight="1" x14ac:dyDescent="0.4">
      <c r="B124" s="166" t="s">
        <v>235</v>
      </c>
      <c r="C124" s="167"/>
      <c r="D124" s="167"/>
      <c r="E124" s="167"/>
      <c r="F124" s="68">
        <v>363.4</v>
      </c>
      <c r="G124" s="66"/>
      <c r="H124" s="66"/>
      <c r="I124" s="166" t="s">
        <v>235</v>
      </c>
      <c r="J124" s="167"/>
      <c r="K124" s="167"/>
      <c r="L124" s="167"/>
      <c r="M124" s="68">
        <v>363.4</v>
      </c>
      <c r="N124" s="35"/>
    </row>
    <row r="125" spans="2:14" ht="17.100000000000001" customHeight="1" x14ac:dyDescent="0.4">
      <c r="B125" s="166"/>
      <c r="C125" s="167"/>
      <c r="D125" s="167"/>
      <c r="E125" s="167"/>
      <c r="F125" s="68">
        <v>0</v>
      </c>
      <c r="G125" s="80"/>
      <c r="H125" s="66"/>
      <c r="I125" s="166"/>
      <c r="J125" s="167"/>
      <c r="K125" s="167"/>
      <c r="L125" s="167"/>
      <c r="M125" s="68">
        <v>0</v>
      </c>
      <c r="N125" s="40"/>
    </row>
    <row r="126" spans="2:14" ht="38.25" customHeight="1" x14ac:dyDescent="0.3">
      <c r="B126" s="166" t="s">
        <v>237</v>
      </c>
      <c r="C126" s="167"/>
      <c r="D126" s="167"/>
      <c r="E126" s="167"/>
      <c r="F126" s="68">
        <v>2000</v>
      </c>
      <c r="G126" s="74"/>
      <c r="H126" s="66"/>
      <c r="I126" s="188" t="s">
        <v>237</v>
      </c>
      <c r="J126" s="189"/>
      <c r="K126" s="189"/>
      <c r="L126" s="189"/>
      <c r="M126" s="83">
        <v>2000</v>
      </c>
      <c r="N126" s="40"/>
    </row>
    <row r="127" spans="2:14" ht="12.75" customHeight="1" x14ac:dyDescent="0.4">
      <c r="B127" s="168" t="s">
        <v>112</v>
      </c>
      <c r="C127" s="169"/>
      <c r="D127" s="169"/>
      <c r="E127" s="169"/>
      <c r="F127" s="70">
        <f>SUM(F116:F120)-SUM(F122:F126)</f>
        <v>2113.1600000000003</v>
      </c>
      <c r="G127" s="75"/>
      <c r="H127" s="66"/>
      <c r="I127" s="190" t="s">
        <v>112</v>
      </c>
      <c r="J127" s="191"/>
      <c r="K127" s="191"/>
      <c r="L127" s="191"/>
      <c r="M127" s="82">
        <f>SUM(M116:M120)-SUM(M122:M126)</f>
        <v>2113.1600000000003</v>
      </c>
      <c r="N127" s="40"/>
    </row>
    <row r="128" spans="2:14" ht="36" customHeight="1" x14ac:dyDescent="0.4">
      <c r="B128" s="170" t="s">
        <v>256</v>
      </c>
      <c r="C128" s="170"/>
      <c r="D128" s="170"/>
      <c r="E128" s="170"/>
      <c r="F128" s="170"/>
      <c r="G128" s="81"/>
      <c r="H128" s="66"/>
      <c r="I128" s="192" t="s">
        <v>256</v>
      </c>
      <c r="J128" s="192"/>
      <c r="K128" s="192"/>
      <c r="L128" s="192"/>
      <c r="M128" s="192"/>
      <c r="N128" s="40"/>
    </row>
    <row r="129" spans="2:14" ht="17.100000000000001" customHeight="1" x14ac:dyDescent="0.4">
      <c r="B129" s="163" t="s">
        <v>114</v>
      </c>
      <c r="C129" s="163"/>
      <c r="D129" s="163"/>
      <c r="E129" s="163"/>
      <c r="F129" s="163"/>
      <c r="G129" s="81"/>
      <c r="H129" s="66"/>
      <c r="I129" s="187" t="s">
        <v>114</v>
      </c>
      <c r="J129" s="187"/>
      <c r="K129" s="187"/>
      <c r="L129" s="187"/>
      <c r="M129" s="187"/>
      <c r="N129" s="40"/>
    </row>
    <row r="130" spans="2:14" ht="17.100000000000001" customHeight="1" x14ac:dyDescent="0.4">
      <c r="B130" s="163"/>
      <c r="C130" s="163"/>
      <c r="D130" s="163"/>
      <c r="E130" s="163"/>
      <c r="F130" s="163"/>
      <c r="G130" s="40"/>
      <c r="I130" s="187"/>
      <c r="J130" s="187"/>
      <c r="K130" s="187"/>
      <c r="L130" s="187"/>
      <c r="M130" s="187"/>
      <c r="N130" s="40"/>
    </row>
    <row r="131" spans="2:14" ht="17.100000000000001" customHeight="1" x14ac:dyDescent="0.4">
      <c r="B131" s="164" t="s">
        <v>239</v>
      </c>
      <c r="C131" s="164"/>
      <c r="D131" s="164"/>
      <c r="E131" s="164"/>
      <c r="F131" s="164"/>
      <c r="G131" s="40"/>
      <c r="I131" s="165" t="s">
        <v>239</v>
      </c>
      <c r="J131" s="165"/>
      <c r="K131" s="165"/>
      <c r="L131" s="165"/>
      <c r="M131" s="165"/>
      <c r="N131" s="40"/>
    </row>
    <row r="132" spans="2:14" ht="17.100000000000001" customHeight="1" x14ac:dyDescent="0.4">
      <c r="B132" s="40"/>
      <c r="C132" s="37"/>
      <c r="D132" s="37"/>
      <c r="E132" s="37"/>
      <c r="F132" s="37"/>
      <c r="G132" s="40"/>
      <c r="I132" s="40"/>
      <c r="J132" s="37"/>
      <c r="K132" s="37"/>
      <c r="L132" s="37"/>
      <c r="M132" s="37"/>
      <c r="N132" s="40"/>
    </row>
    <row r="133" spans="2:14" ht="17.100000000000001" customHeight="1" x14ac:dyDescent="0.4">
      <c r="B133" s="40"/>
      <c r="C133" s="37"/>
      <c r="D133" s="37"/>
      <c r="E133" s="37"/>
      <c r="F133" s="37"/>
      <c r="G133" s="40"/>
      <c r="I133" s="40"/>
      <c r="J133" s="37"/>
      <c r="K133" s="37"/>
      <c r="L133" s="37"/>
      <c r="M133" s="37"/>
      <c r="N133" s="40"/>
    </row>
    <row r="134" spans="2:14" ht="47.25" customHeight="1" x14ac:dyDescent="0.4">
      <c r="B134" s="40"/>
      <c r="C134" s="37"/>
      <c r="D134" s="37"/>
      <c r="E134" s="37"/>
      <c r="F134" s="37"/>
      <c r="G134" s="40"/>
      <c r="I134" s="40"/>
      <c r="J134" s="37"/>
      <c r="K134" s="37"/>
      <c r="L134" s="37"/>
      <c r="M134" s="37"/>
    </row>
    <row r="135" spans="2:14" ht="21" customHeight="1" x14ac:dyDescent="0.4">
      <c r="B135" s="40"/>
      <c r="C135" s="37"/>
      <c r="D135" s="37"/>
      <c r="E135" s="37"/>
      <c r="F135" s="37"/>
      <c r="G135" s="40"/>
      <c r="I135" s="40"/>
      <c r="J135" s="37"/>
      <c r="K135" s="37"/>
      <c r="L135" s="37"/>
      <c r="M135" s="37"/>
      <c r="N135" s="24"/>
    </row>
    <row r="136" spans="2:14" ht="21" customHeight="1" x14ac:dyDescent="0.4">
      <c r="B136" s="40"/>
      <c r="C136" s="37"/>
      <c r="D136" s="37"/>
      <c r="E136" s="37"/>
      <c r="F136" s="37"/>
      <c r="G136" s="40"/>
      <c r="I136" s="40"/>
      <c r="J136" s="37"/>
      <c r="K136" s="37"/>
      <c r="L136" s="37"/>
      <c r="M136" s="37"/>
      <c r="N136" s="24"/>
    </row>
    <row r="137" spans="2:14" ht="21" customHeight="1" x14ac:dyDescent="0.4">
      <c r="B137" s="40"/>
      <c r="C137" s="37"/>
      <c r="D137" s="37"/>
      <c r="E137" s="37"/>
      <c r="F137" s="37"/>
      <c r="I137" s="40"/>
      <c r="J137" s="37"/>
      <c r="K137" s="37"/>
      <c r="L137" s="37"/>
      <c r="M137" s="37"/>
      <c r="N137" s="24"/>
    </row>
    <row r="138" spans="2:14" ht="18" customHeight="1" x14ac:dyDescent="0.4">
      <c r="B138" s="40"/>
      <c r="C138" s="37"/>
      <c r="D138" s="37"/>
      <c r="E138" s="37"/>
      <c r="F138" s="37"/>
      <c r="G138" s="24"/>
      <c r="I138" s="102"/>
      <c r="J138" s="102"/>
      <c r="K138" s="102"/>
      <c r="L138" s="102"/>
      <c r="M138" s="102"/>
      <c r="N138" s="32"/>
    </row>
    <row r="139" spans="2:14" ht="18" customHeight="1" x14ac:dyDescent="0.4">
      <c r="B139" s="40"/>
      <c r="C139" s="37"/>
      <c r="D139" s="37"/>
      <c r="E139" s="37"/>
      <c r="F139" s="37"/>
      <c r="G139" s="24"/>
      <c r="I139" s="110"/>
      <c r="J139" s="110"/>
      <c r="K139" s="110"/>
      <c r="L139" s="110"/>
      <c r="M139" s="110"/>
      <c r="N139" s="32"/>
    </row>
    <row r="140" spans="2:14" ht="18" customHeight="1" x14ac:dyDescent="0.4">
      <c r="B140" s="102"/>
      <c r="C140" s="102"/>
      <c r="D140" s="102"/>
      <c r="E140" s="102"/>
      <c r="F140" s="102"/>
      <c r="G140" s="24"/>
      <c r="I140" s="110"/>
      <c r="J140" s="110"/>
      <c r="K140" s="110"/>
      <c r="L140" s="110"/>
      <c r="M140" s="110"/>
    </row>
    <row r="141" spans="2:14" ht="18" customHeight="1" x14ac:dyDescent="0.4">
      <c r="B141" s="110"/>
      <c r="C141" s="110"/>
      <c r="D141" s="110"/>
      <c r="E141" s="110"/>
      <c r="F141" s="110"/>
      <c r="G141" s="32"/>
      <c r="I141" s="110"/>
      <c r="J141" s="110"/>
      <c r="K141" s="110"/>
      <c r="L141" s="110"/>
      <c r="M141" s="110"/>
    </row>
    <row r="142" spans="2:14" x14ac:dyDescent="0.4">
      <c r="B142" s="110"/>
      <c r="C142" s="110"/>
      <c r="D142" s="110"/>
      <c r="E142" s="110"/>
      <c r="F142" s="110"/>
      <c r="G142" s="32"/>
      <c r="I142" s="114"/>
      <c r="J142" s="115"/>
      <c r="K142" s="115"/>
      <c r="L142" s="115"/>
      <c r="M142" s="116"/>
    </row>
    <row r="143" spans="2:14" ht="18" customHeight="1" x14ac:dyDescent="0.4">
      <c r="B143" s="110"/>
      <c r="C143" s="110"/>
      <c r="D143" s="110"/>
      <c r="E143" s="110"/>
      <c r="F143" s="110"/>
      <c r="I143" s="111"/>
      <c r="J143" s="112"/>
      <c r="K143" s="112"/>
      <c r="L143" s="112"/>
      <c r="M143" s="113"/>
    </row>
    <row r="144" spans="2:14" ht="18" customHeight="1" x14ac:dyDescent="0.25">
      <c r="B144" s="131"/>
      <c r="C144" s="132"/>
      <c r="D144" s="132"/>
      <c r="E144" s="132"/>
      <c r="F144" s="133"/>
      <c r="I144" s="97"/>
      <c r="J144" s="98"/>
      <c r="K144" s="98"/>
      <c r="L144" s="98"/>
      <c r="M144" s="26"/>
    </row>
    <row r="145" spans="2:14" ht="18" customHeight="1" x14ac:dyDescent="0.25">
      <c r="B145" s="134"/>
      <c r="C145" s="135"/>
      <c r="D145" s="135"/>
      <c r="E145" s="135"/>
      <c r="F145" s="136"/>
      <c r="I145" s="97"/>
      <c r="J145" s="98"/>
      <c r="K145" s="98"/>
      <c r="L145" s="98"/>
      <c r="M145" s="26"/>
    </row>
    <row r="146" spans="2:14" ht="18" customHeight="1" x14ac:dyDescent="0.3">
      <c r="B146" s="125"/>
      <c r="C146" s="126"/>
      <c r="D146" s="126"/>
      <c r="E146" s="126"/>
      <c r="F146" s="63"/>
      <c r="I146" s="97"/>
      <c r="J146" s="98"/>
      <c r="K146" s="98"/>
      <c r="L146" s="98"/>
      <c r="M146" s="26"/>
    </row>
    <row r="147" spans="2:14" ht="18" customHeight="1" x14ac:dyDescent="0.3">
      <c r="B147" s="125"/>
      <c r="C147" s="126"/>
      <c r="D147" s="126"/>
      <c r="E147" s="126"/>
      <c r="F147" s="63"/>
      <c r="I147" s="99"/>
      <c r="J147" s="100"/>
      <c r="K147" s="100"/>
      <c r="L147" s="100"/>
      <c r="M147" s="29"/>
    </row>
    <row r="148" spans="2:14" ht="18" customHeight="1" x14ac:dyDescent="0.3">
      <c r="B148" s="125"/>
      <c r="C148" s="126"/>
      <c r="D148" s="126"/>
      <c r="E148" s="126"/>
      <c r="F148" s="63"/>
      <c r="I148" s="97"/>
      <c r="J148" s="98"/>
      <c r="K148" s="98"/>
      <c r="L148" s="98"/>
      <c r="M148" s="26"/>
    </row>
    <row r="149" spans="2:14" ht="45" customHeight="1" x14ac:dyDescent="0.25">
      <c r="B149" s="129"/>
      <c r="C149" s="130"/>
      <c r="D149" s="130"/>
      <c r="E149" s="130"/>
      <c r="F149" s="64"/>
      <c r="I149" s="97"/>
      <c r="J149" s="98"/>
      <c r="K149" s="98"/>
      <c r="L149" s="98"/>
      <c r="M149" s="26"/>
      <c r="N149" s="39"/>
    </row>
    <row r="150" spans="2:14" ht="22.5" customHeight="1" x14ac:dyDescent="0.3">
      <c r="B150" s="125"/>
      <c r="C150" s="126"/>
      <c r="D150" s="126"/>
      <c r="E150" s="126"/>
      <c r="F150" s="63"/>
      <c r="I150" s="97"/>
      <c r="J150" s="98"/>
      <c r="K150" s="98"/>
      <c r="L150" s="98"/>
      <c r="M150" s="26"/>
      <c r="N150" s="34"/>
    </row>
    <row r="151" spans="2:14" ht="27" customHeight="1" x14ac:dyDescent="0.3">
      <c r="B151" s="125"/>
      <c r="C151" s="126"/>
      <c r="D151" s="126"/>
      <c r="E151" s="126"/>
      <c r="F151" s="63"/>
      <c r="I151" s="97"/>
      <c r="J151" s="98"/>
      <c r="K151" s="98"/>
      <c r="L151" s="98"/>
      <c r="M151" s="26"/>
      <c r="N151" s="35"/>
    </row>
    <row r="152" spans="2:14" ht="17.100000000000001" customHeight="1" x14ac:dyDescent="0.3">
      <c r="B152" s="125"/>
      <c r="C152" s="126"/>
      <c r="D152" s="126"/>
      <c r="E152" s="126"/>
      <c r="F152" s="63"/>
      <c r="G152" s="38"/>
      <c r="I152" s="104"/>
      <c r="J152" s="105"/>
      <c r="K152" s="105"/>
      <c r="L152" s="105"/>
      <c r="M152" s="30"/>
      <c r="N152" s="40"/>
    </row>
    <row r="153" spans="2:14" x14ac:dyDescent="0.3">
      <c r="B153" s="125"/>
      <c r="C153" s="126"/>
      <c r="D153" s="126"/>
      <c r="E153" s="126"/>
      <c r="F153" s="63"/>
      <c r="G153" s="34"/>
      <c r="I153" s="103"/>
      <c r="J153" s="103"/>
      <c r="K153" s="103"/>
      <c r="L153" s="103"/>
      <c r="M153" s="103"/>
    </row>
    <row r="154" spans="2:14" x14ac:dyDescent="0.3">
      <c r="B154" s="127"/>
      <c r="C154" s="128"/>
      <c r="D154" s="128"/>
      <c r="E154" s="128"/>
      <c r="F154" s="65"/>
      <c r="G154" s="35"/>
      <c r="I154" s="34"/>
      <c r="J154" s="34"/>
      <c r="K154" s="34"/>
      <c r="L154" s="34"/>
      <c r="M154" s="34"/>
    </row>
    <row r="155" spans="2:14" ht="19.5" x14ac:dyDescent="0.4">
      <c r="B155" s="103"/>
      <c r="C155" s="103"/>
      <c r="D155" s="103"/>
      <c r="E155" s="103"/>
      <c r="F155" s="103"/>
      <c r="G155" s="40"/>
      <c r="I155" s="33"/>
      <c r="J155" s="35"/>
      <c r="K155" s="35"/>
      <c r="L155" s="35"/>
      <c r="M155" s="35"/>
    </row>
    <row r="156" spans="2:14" ht="19.5" x14ac:dyDescent="0.3">
      <c r="B156" s="34"/>
      <c r="C156" s="34"/>
      <c r="D156" s="34"/>
      <c r="E156" s="34"/>
      <c r="F156" s="34"/>
      <c r="I156" s="40"/>
      <c r="J156" s="108"/>
      <c r="K156" s="108"/>
      <c r="L156" s="108"/>
      <c r="M156" s="108"/>
    </row>
    <row r="157" spans="2:14" x14ac:dyDescent="0.4">
      <c r="B157" s="33"/>
      <c r="C157" s="35"/>
      <c r="D157" s="35"/>
      <c r="E157" s="35"/>
      <c r="F157" s="35"/>
    </row>
    <row r="158" spans="2:14" ht="19.5" x14ac:dyDescent="0.4">
      <c r="B158" s="40"/>
      <c r="C158" s="108"/>
      <c r="D158" s="108"/>
      <c r="E158" s="108"/>
      <c r="F158" s="108"/>
    </row>
  </sheetData>
  <mergeCells count="225">
    <mergeCell ref="B1:F1"/>
    <mergeCell ref="I1:M1"/>
    <mergeCell ref="B2:F2"/>
    <mergeCell ref="I2:M2"/>
    <mergeCell ref="B3:F3"/>
    <mergeCell ref="I3:M3"/>
    <mergeCell ref="B4:F4"/>
    <mergeCell ref="I4:M4"/>
    <mergeCell ref="B5:F5"/>
    <mergeCell ref="I5:M5"/>
    <mergeCell ref="B6:F6"/>
    <mergeCell ref="I6:M6"/>
    <mergeCell ref="B7:E7"/>
    <mergeCell ref="I7:L7"/>
    <mergeCell ref="B8:E8"/>
    <mergeCell ref="I8:L8"/>
    <mergeCell ref="B9:E9"/>
    <mergeCell ref="I9:L9"/>
    <mergeCell ref="B10:E10"/>
    <mergeCell ref="I10:L10"/>
    <mergeCell ref="B11:E11"/>
    <mergeCell ref="I11:L11"/>
    <mergeCell ref="B12:E12"/>
    <mergeCell ref="I12:L12"/>
    <mergeCell ref="B13:E13"/>
    <mergeCell ref="I13:L13"/>
    <mergeCell ref="B14:E14"/>
    <mergeCell ref="I14:L14"/>
    <mergeCell ref="B15:E15"/>
    <mergeCell ref="I15:L15"/>
    <mergeCell ref="B16:F16"/>
    <mergeCell ref="I16:M16"/>
    <mergeCell ref="B17:G17"/>
    <mergeCell ref="I17:N17"/>
    <mergeCell ref="B19:F19"/>
    <mergeCell ref="I19:M19"/>
    <mergeCell ref="B27:F27"/>
    <mergeCell ref="I27:M27"/>
    <mergeCell ref="B28:F28"/>
    <mergeCell ref="I28:M28"/>
    <mergeCell ref="B29:F29"/>
    <mergeCell ref="I29:M29"/>
    <mergeCell ref="B30:F30"/>
    <mergeCell ref="I30:M30"/>
    <mergeCell ref="B31:F31"/>
    <mergeCell ref="I31:M31"/>
    <mergeCell ref="B32:F32"/>
    <mergeCell ref="I32:M32"/>
    <mergeCell ref="B33:E33"/>
    <mergeCell ref="I33:L33"/>
    <mergeCell ref="B34:E34"/>
    <mergeCell ref="I34:L34"/>
    <mergeCell ref="B35:E35"/>
    <mergeCell ref="I35:L35"/>
    <mergeCell ref="B36:E36"/>
    <mergeCell ref="I36:L36"/>
    <mergeCell ref="B37:E37"/>
    <mergeCell ref="I37:L37"/>
    <mergeCell ref="B38:E38"/>
    <mergeCell ref="I38:L38"/>
    <mergeCell ref="B39:E39"/>
    <mergeCell ref="I39:L39"/>
    <mergeCell ref="B40:E40"/>
    <mergeCell ref="I40:L40"/>
    <mergeCell ref="B41:E41"/>
    <mergeCell ref="I41:L41"/>
    <mergeCell ref="B42:E42"/>
    <mergeCell ref="I42:L42"/>
    <mergeCell ref="B43:F43"/>
    <mergeCell ref="I43:M43"/>
    <mergeCell ref="B44:F44"/>
    <mergeCell ref="I44:M44"/>
    <mergeCell ref="B45:F45"/>
    <mergeCell ref="I45:M45"/>
    <mergeCell ref="B46:F46"/>
    <mergeCell ref="I46:M46"/>
    <mergeCell ref="B57:F57"/>
    <mergeCell ref="I57:M57"/>
    <mergeCell ref="B58:F58"/>
    <mergeCell ref="I58:M58"/>
    <mergeCell ref="B59:F59"/>
    <mergeCell ref="I59:M59"/>
    <mergeCell ref="B60:F60"/>
    <mergeCell ref="I60:M60"/>
    <mergeCell ref="B61:F61"/>
    <mergeCell ref="I61:M61"/>
    <mergeCell ref="B62:F62"/>
    <mergeCell ref="I62:M62"/>
    <mergeCell ref="B63:E63"/>
    <mergeCell ref="I63:L63"/>
    <mergeCell ref="B64:E64"/>
    <mergeCell ref="I64:L64"/>
    <mergeCell ref="B65:E65"/>
    <mergeCell ref="I65:L65"/>
    <mergeCell ref="B66:E66"/>
    <mergeCell ref="I66:L66"/>
    <mergeCell ref="B67:E67"/>
    <mergeCell ref="I67:L67"/>
    <mergeCell ref="B68:E68"/>
    <mergeCell ref="I68:L68"/>
    <mergeCell ref="B69:E69"/>
    <mergeCell ref="I69:L69"/>
    <mergeCell ref="B70:E70"/>
    <mergeCell ref="I70:L70"/>
    <mergeCell ref="B71:E71"/>
    <mergeCell ref="I71:L71"/>
    <mergeCell ref="B72:E72"/>
    <mergeCell ref="I72:L72"/>
    <mergeCell ref="B73:F73"/>
    <mergeCell ref="I73:M73"/>
    <mergeCell ref="B74:F75"/>
    <mergeCell ref="I74:M75"/>
    <mergeCell ref="B76:F76"/>
    <mergeCell ref="I76:M76"/>
    <mergeCell ref="I83:M83"/>
    <mergeCell ref="B84:F84"/>
    <mergeCell ref="I84:M84"/>
    <mergeCell ref="B85:F85"/>
    <mergeCell ref="I85:M85"/>
    <mergeCell ref="B86:F86"/>
    <mergeCell ref="I86:M86"/>
    <mergeCell ref="B87:F87"/>
    <mergeCell ref="I87:M87"/>
    <mergeCell ref="B88:F88"/>
    <mergeCell ref="I88:M88"/>
    <mergeCell ref="B89:F89"/>
    <mergeCell ref="I89:M89"/>
    <mergeCell ref="B90:E90"/>
    <mergeCell ref="I90:L90"/>
    <mergeCell ref="B91:E91"/>
    <mergeCell ref="I91:L91"/>
    <mergeCell ref="B92:E92"/>
    <mergeCell ref="I92:L92"/>
    <mergeCell ref="B93:E93"/>
    <mergeCell ref="I93:L93"/>
    <mergeCell ref="B94:E94"/>
    <mergeCell ref="I94:L94"/>
    <mergeCell ref="B95:E95"/>
    <mergeCell ref="I95:L95"/>
    <mergeCell ref="B96:E96"/>
    <mergeCell ref="I96:L96"/>
    <mergeCell ref="B97:F97"/>
    <mergeCell ref="I97:M97"/>
    <mergeCell ref="B98:F99"/>
    <mergeCell ref="I98:M99"/>
    <mergeCell ref="B100:F100"/>
    <mergeCell ref="I100:M100"/>
    <mergeCell ref="I108:M108"/>
    <mergeCell ref="I109:M109"/>
    <mergeCell ref="B110:F110"/>
    <mergeCell ref="I110:M110"/>
    <mergeCell ref="B111:F111"/>
    <mergeCell ref="I111:M111"/>
    <mergeCell ref="B112:F112"/>
    <mergeCell ref="I112:M112"/>
    <mergeCell ref="B113:F113"/>
    <mergeCell ref="I113:M113"/>
    <mergeCell ref="B114:F114"/>
    <mergeCell ref="I114:M114"/>
    <mergeCell ref="B115:F115"/>
    <mergeCell ref="I115:M115"/>
    <mergeCell ref="B116:E116"/>
    <mergeCell ref="I116:L116"/>
    <mergeCell ref="B117:E117"/>
    <mergeCell ref="I117:L117"/>
    <mergeCell ref="B118:E118"/>
    <mergeCell ref="I118:L118"/>
    <mergeCell ref="B119:E119"/>
    <mergeCell ref="I119:L119"/>
    <mergeCell ref="B120:E120"/>
    <mergeCell ref="I120:L120"/>
    <mergeCell ref="B121:E121"/>
    <mergeCell ref="I121:L121"/>
    <mergeCell ref="B122:E122"/>
    <mergeCell ref="I122:L122"/>
    <mergeCell ref="B123:E123"/>
    <mergeCell ref="I123:L123"/>
    <mergeCell ref="B124:E124"/>
    <mergeCell ref="I124:L124"/>
    <mergeCell ref="B125:E125"/>
    <mergeCell ref="I125:L125"/>
    <mergeCell ref="B126:E126"/>
    <mergeCell ref="I126:L126"/>
    <mergeCell ref="B127:E127"/>
    <mergeCell ref="I127:L127"/>
    <mergeCell ref="B128:F128"/>
    <mergeCell ref="I128:M128"/>
    <mergeCell ref="B129:F130"/>
    <mergeCell ref="I129:M130"/>
    <mergeCell ref="B131:F131"/>
    <mergeCell ref="I131:M131"/>
    <mergeCell ref="I138:M138"/>
    <mergeCell ref="I139:M139"/>
    <mergeCell ref="B140:F140"/>
    <mergeCell ref="I140:M140"/>
    <mergeCell ref="B141:F141"/>
    <mergeCell ref="I141:M141"/>
    <mergeCell ref="B142:F142"/>
    <mergeCell ref="I142:M142"/>
    <mergeCell ref="B143:F143"/>
    <mergeCell ref="I143:M143"/>
    <mergeCell ref="B144:F144"/>
    <mergeCell ref="I144:L144"/>
    <mergeCell ref="B145:F145"/>
    <mergeCell ref="I145:L145"/>
    <mergeCell ref="B146:E146"/>
    <mergeCell ref="I146:L146"/>
    <mergeCell ref="B152:E152"/>
    <mergeCell ref="I152:L152"/>
    <mergeCell ref="B153:E153"/>
    <mergeCell ref="I153:M153"/>
    <mergeCell ref="B154:E154"/>
    <mergeCell ref="B155:F155"/>
    <mergeCell ref="J156:M156"/>
    <mergeCell ref="C158:F158"/>
    <mergeCell ref="B147:E147"/>
    <mergeCell ref="I147:L147"/>
    <mergeCell ref="B148:E148"/>
    <mergeCell ref="I148:L148"/>
    <mergeCell ref="B149:E149"/>
    <mergeCell ref="I149:L149"/>
    <mergeCell ref="B150:E150"/>
    <mergeCell ref="I150:L150"/>
    <mergeCell ref="B151:E151"/>
    <mergeCell ref="I151:L151"/>
  </mergeCells>
  <dataValidations count="1">
    <dataValidation allowBlank="1" showInputMessage="1" showErrorMessage="1" prompt="O título da planilha está nesta célula. Insira o nome do cartão de crédito para atualizar o título" sqref="B1 B110 B84 I108 I1 B27 B57 B140 I27 I138 I110 I83:I84 I57" xr:uid="{00000000-0002-0000-0D00-000000000000}"/>
  </dataValidations>
  <printOptions horizontalCentered="1"/>
  <pageMargins left="0" right="0" top="0" bottom="0" header="0" footer="0"/>
  <pageSetup paperSize="9" fitToHeight="0" orientation="landscape" horizontalDpi="4294967293"/>
  <headerFooter scaleWithDoc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3873B-C86A-4A85-8BB0-7A8EBBED5CF0}">
  <sheetPr>
    <tabColor theme="4"/>
  </sheetPr>
  <dimension ref="A1:P160"/>
  <sheetViews>
    <sheetView topLeftCell="A108" workbookViewId="0">
      <selection activeCell="P97" sqref="P97"/>
    </sheetView>
  </sheetViews>
  <sheetFormatPr defaultColWidth="8.88671875" defaultRowHeight="18.75" x14ac:dyDescent="0.4"/>
  <cols>
    <col min="1" max="1" width="2.21875" customWidth="1"/>
    <col min="2" max="2" width="17.6640625" customWidth="1"/>
    <col min="5" max="5" width="8.109375" customWidth="1"/>
    <col min="6" max="6" width="14.33203125" customWidth="1"/>
    <col min="7" max="7" width="1.6640625" customWidth="1"/>
    <col min="8" max="8" width="2.21875" customWidth="1"/>
    <col min="9" max="9" width="17.6640625" customWidth="1"/>
    <col min="13" max="13" width="14" customWidth="1"/>
    <col min="14" max="14" width="1.6640625" customWidth="1"/>
    <col min="15" max="16" width="10.77734375" bestFit="1" customWidth="1"/>
  </cols>
  <sheetData>
    <row r="1" spans="2:14" ht="43.5" customHeight="1" x14ac:dyDescent="0.4">
      <c r="B1" s="180" t="s">
        <v>96</v>
      </c>
      <c r="C1" s="180"/>
      <c r="D1" s="180"/>
      <c r="E1" s="180"/>
      <c r="F1" s="180"/>
      <c r="G1" s="66"/>
      <c r="H1" s="66"/>
      <c r="I1" s="180" t="s">
        <v>96</v>
      </c>
      <c r="J1" s="180"/>
      <c r="K1" s="180"/>
      <c r="L1" s="180"/>
      <c r="M1" s="180"/>
      <c r="N1" s="66"/>
    </row>
    <row r="2" spans="2:14" ht="21" customHeight="1" x14ac:dyDescent="0.4">
      <c r="B2" s="181" t="s">
        <v>97</v>
      </c>
      <c r="C2" s="181"/>
      <c r="D2" s="181"/>
      <c r="E2" s="181"/>
      <c r="F2" s="181"/>
      <c r="G2" s="67"/>
      <c r="H2" s="66"/>
      <c r="I2" s="181" t="s">
        <v>97</v>
      </c>
      <c r="J2" s="181"/>
      <c r="K2" s="181"/>
      <c r="L2" s="181"/>
      <c r="M2" s="181"/>
      <c r="N2" s="67"/>
    </row>
    <row r="3" spans="2:14" ht="21" customHeight="1" x14ac:dyDescent="0.4">
      <c r="B3" s="181" t="s">
        <v>98</v>
      </c>
      <c r="C3" s="181"/>
      <c r="D3" s="181"/>
      <c r="E3" s="181"/>
      <c r="F3" s="181"/>
      <c r="G3" s="67"/>
      <c r="H3" s="66"/>
      <c r="I3" s="181" t="s">
        <v>98</v>
      </c>
      <c r="J3" s="181"/>
      <c r="K3" s="181"/>
      <c r="L3" s="181"/>
      <c r="M3" s="181"/>
      <c r="N3" s="67"/>
    </row>
    <row r="4" spans="2:14" ht="21" customHeight="1" x14ac:dyDescent="0.4">
      <c r="B4" s="181" t="s">
        <v>202</v>
      </c>
      <c r="C4" s="181"/>
      <c r="D4" s="181"/>
      <c r="E4" s="181"/>
      <c r="F4" s="181"/>
      <c r="G4" s="67"/>
      <c r="H4" s="66"/>
      <c r="I4" s="181" t="s">
        <v>202</v>
      </c>
      <c r="J4" s="181"/>
      <c r="K4" s="181"/>
      <c r="L4" s="181"/>
      <c r="M4" s="181"/>
      <c r="N4" s="67"/>
    </row>
    <row r="5" spans="2:14" ht="18" customHeight="1" x14ac:dyDescent="0.4">
      <c r="B5" s="174" t="s">
        <v>100</v>
      </c>
      <c r="C5" s="175"/>
      <c r="D5" s="175"/>
      <c r="E5" s="175"/>
      <c r="F5" s="176"/>
      <c r="G5" s="66"/>
      <c r="H5" s="66"/>
      <c r="I5" s="174" t="s">
        <v>100</v>
      </c>
      <c r="J5" s="175"/>
      <c r="K5" s="175"/>
      <c r="L5" s="175"/>
      <c r="M5" s="176"/>
      <c r="N5" s="66"/>
    </row>
    <row r="6" spans="2:14" ht="18" customHeight="1" x14ac:dyDescent="0.4">
      <c r="B6" s="177" t="s">
        <v>101</v>
      </c>
      <c r="C6" s="178"/>
      <c r="D6" s="178"/>
      <c r="E6" s="178"/>
      <c r="F6" s="179"/>
      <c r="G6" s="66"/>
      <c r="H6" s="66"/>
      <c r="I6" s="177" t="s">
        <v>101</v>
      </c>
      <c r="J6" s="178"/>
      <c r="K6" s="178"/>
      <c r="L6" s="178"/>
      <c r="M6" s="179"/>
      <c r="N6" s="66"/>
    </row>
    <row r="7" spans="2:14" x14ac:dyDescent="0.4">
      <c r="B7" s="166" t="s">
        <v>264</v>
      </c>
      <c r="C7" s="167"/>
      <c r="D7" s="167"/>
      <c r="E7" s="167"/>
      <c r="F7" s="68">
        <v>2900</v>
      </c>
      <c r="G7" s="66"/>
      <c r="H7" s="66"/>
      <c r="I7" s="166" t="s">
        <v>264</v>
      </c>
      <c r="J7" s="167"/>
      <c r="K7" s="167"/>
      <c r="L7" s="167"/>
      <c r="M7" s="68">
        <v>2900</v>
      </c>
      <c r="N7" s="66"/>
    </row>
    <row r="8" spans="2:14" x14ac:dyDescent="0.4">
      <c r="B8" s="166" t="s">
        <v>204</v>
      </c>
      <c r="C8" s="167"/>
      <c r="D8" s="167"/>
      <c r="E8" s="167"/>
      <c r="F8" s="68">
        <v>0</v>
      </c>
      <c r="G8" s="66"/>
      <c r="H8" s="66"/>
      <c r="I8" s="166" t="s">
        <v>204</v>
      </c>
      <c r="J8" s="167"/>
      <c r="K8" s="167"/>
      <c r="L8" s="167"/>
      <c r="M8" s="68">
        <v>0</v>
      </c>
      <c r="N8" s="66"/>
    </row>
    <row r="9" spans="2:14" x14ac:dyDescent="0.4">
      <c r="B9" s="166"/>
      <c r="C9" s="167"/>
      <c r="D9" s="167"/>
      <c r="E9" s="167"/>
      <c r="F9" s="68">
        <v>0</v>
      </c>
      <c r="G9" s="66"/>
      <c r="H9" s="66"/>
      <c r="I9" s="166"/>
      <c r="J9" s="167"/>
      <c r="K9" s="167"/>
      <c r="L9" s="167"/>
      <c r="M9" s="68">
        <v>0</v>
      </c>
      <c r="N9" s="66"/>
    </row>
    <row r="10" spans="2:14" x14ac:dyDescent="0.4">
      <c r="B10" s="166" t="s">
        <v>106</v>
      </c>
      <c r="C10" s="167"/>
      <c r="D10" s="167"/>
      <c r="E10" s="167"/>
      <c r="F10" s="68">
        <v>44.92</v>
      </c>
      <c r="G10" s="66"/>
      <c r="H10" s="66"/>
      <c r="I10" s="166" t="s">
        <v>106</v>
      </c>
      <c r="J10" s="167"/>
      <c r="K10" s="167"/>
      <c r="L10" s="167"/>
      <c r="M10" s="68">
        <v>44.92</v>
      </c>
      <c r="N10" s="66"/>
    </row>
    <row r="11" spans="2:14" ht="18" customHeight="1" x14ac:dyDescent="0.4">
      <c r="B11" s="172" t="s">
        <v>107</v>
      </c>
      <c r="C11" s="173"/>
      <c r="D11" s="173"/>
      <c r="E11" s="173"/>
      <c r="F11" s="69"/>
      <c r="G11" s="66"/>
      <c r="H11" s="66"/>
      <c r="I11" s="172" t="s">
        <v>107</v>
      </c>
      <c r="J11" s="173"/>
      <c r="K11" s="173"/>
      <c r="L11" s="173"/>
      <c r="M11" s="69"/>
      <c r="N11" s="66"/>
    </row>
    <row r="12" spans="2:14" ht="18" customHeight="1" x14ac:dyDescent="0.4">
      <c r="B12" s="166" t="s">
        <v>273</v>
      </c>
      <c r="C12" s="167"/>
      <c r="D12" s="167"/>
      <c r="E12" s="167"/>
      <c r="F12" s="68">
        <v>34.9</v>
      </c>
      <c r="G12" s="66"/>
      <c r="H12" s="66"/>
      <c r="I12" s="166" t="s">
        <v>273</v>
      </c>
      <c r="J12" s="167"/>
      <c r="K12" s="167"/>
      <c r="L12" s="167"/>
      <c r="M12" s="68">
        <v>34.9</v>
      </c>
      <c r="N12" s="66"/>
    </row>
    <row r="13" spans="2:14" ht="18" customHeight="1" x14ac:dyDescent="0.4">
      <c r="B13" s="166" t="s">
        <v>263</v>
      </c>
      <c r="C13" s="167"/>
      <c r="D13" s="167"/>
      <c r="E13" s="167"/>
      <c r="F13" s="68">
        <v>160.44</v>
      </c>
      <c r="G13" s="66"/>
      <c r="H13" s="66"/>
      <c r="I13" s="166" t="s">
        <v>263</v>
      </c>
      <c r="J13" s="167"/>
      <c r="K13" s="167"/>
      <c r="L13" s="167"/>
      <c r="M13" s="68">
        <v>160.44</v>
      </c>
      <c r="N13" s="66"/>
    </row>
    <row r="14" spans="2:14" ht="18" customHeight="1" x14ac:dyDescent="0.4">
      <c r="B14" s="166" t="s">
        <v>205</v>
      </c>
      <c r="C14" s="167"/>
      <c r="D14" s="167"/>
      <c r="E14" s="167"/>
      <c r="F14" s="68">
        <v>92.84</v>
      </c>
      <c r="G14" s="66"/>
      <c r="H14" s="66"/>
      <c r="I14" s="166" t="s">
        <v>205</v>
      </c>
      <c r="J14" s="167"/>
      <c r="K14" s="167"/>
      <c r="L14" s="167"/>
      <c r="M14" s="68">
        <v>92.84</v>
      </c>
      <c r="N14" s="66"/>
    </row>
    <row r="15" spans="2:14" ht="18" customHeight="1" x14ac:dyDescent="0.4">
      <c r="B15" s="166" t="s">
        <v>206</v>
      </c>
      <c r="C15" s="167"/>
      <c r="D15" s="167"/>
      <c r="E15" s="167"/>
      <c r="F15" s="68">
        <v>580</v>
      </c>
      <c r="G15" s="66"/>
      <c r="H15" s="66"/>
      <c r="I15" s="166" t="s">
        <v>206</v>
      </c>
      <c r="J15" s="167"/>
      <c r="K15" s="167"/>
      <c r="L15" s="167"/>
      <c r="M15" s="68">
        <v>580</v>
      </c>
      <c r="N15" s="66"/>
    </row>
    <row r="16" spans="2:14" ht="48.95" customHeight="1" x14ac:dyDescent="0.4">
      <c r="B16" s="168" t="s">
        <v>112</v>
      </c>
      <c r="C16" s="169"/>
      <c r="D16" s="169"/>
      <c r="E16" s="169"/>
      <c r="F16" s="70">
        <f>SUM(F7:F10)-SUM(F12:F15)</f>
        <v>2076.7399999999998</v>
      </c>
      <c r="G16" s="71"/>
      <c r="H16" s="72"/>
      <c r="I16" s="168" t="s">
        <v>112</v>
      </c>
      <c r="J16" s="169"/>
      <c r="K16" s="169"/>
      <c r="L16" s="169"/>
      <c r="M16" s="70">
        <f>SUM(M7:M10)-SUM(M12:M15)</f>
        <v>2076.7399999999998</v>
      </c>
      <c r="N16" s="73"/>
    </row>
    <row r="17" spans="1:14" ht="33.75" customHeight="1" x14ac:dyDescent="0.3">
      <c r="B17" s="170" t="s">
        <v>274</v>
      </c>
      <c r="C17" s="170"/>
      <c r="D17" s="170"/>
      <c r="E17" s="170"/>
      <c r="F17" s="170"/>
      <c r="G17" s="74"/>
      <c r="H17" s="66"/>
      <c r="I17" s="170" t="s">
        <v>274</v>
      </c>
      <c r="J17" s="170"/>
      <c r="K17" s="170"/>
      <c r="L17" s="170"/>
      <c r="M17" s="170"/>
      <c r="N17" s="84"/>
    </row>
    <row r="18" spans="1:14" ht="32.25" customHeight="1" x14ac:dyDescent="0.3">
      <c r="B18" s="163" t="s">
        <v>114</v>
      </c>
      <c r="C18" s="163"/>
      <c r="D18" s="163"/>
      <c r="E18" s="163"/>
      <c r="F18" s="163"/>
      <c r="G18" s="75"/>
      <c r="H18" s="66"/>
      <c r="I18" s="163" t="s">
        <v>114</v>
      </c>
      <c r="J18" s="163"/>
      <c r="K18" s="163"/>
      <c r="L18" s="163"/>
      <c r="M18" s="163"/>
      <c r="N18" s="75"/>
    </row>
    <row r="19" spans="1:14" ht="16.899999999999999" customHeight="1" x14ac:dyDescent="0.4">
      <c r="B19" s="73"/>
      <c r="C19" s="75"/>
      <c r="D19" s="75"/>
      <c r="E19" s="75"/>
      <c r="F19" s="75"/>
      <c r="G19" s="77"/>
      <c r="H19" s="66"/>
      <c r="I19" s="73"/>
      <c r="J19" s="75"/>
      <c r="K19" s="75"/>
      <c r="L19" s="75"/>
      <c r="M19" s="75"/>
      <c r="N19" s="77"/>
    </row>
    <row r="20" spans="1:14" ht="16.899999999999999" customHeight="1" x14ac:dyDescent="0.4">
      <c r="B20" s="164" t="s">
        <v>208</v>
      </c>
      <c r="C20" s="164"/>
      <c r="D20" s="164"/>
      <c r="E20" s="164"/>
      <c r="F20" s="164"/>
      <c r="G20" s="36"/>
      <c r="I20" s="164" t="s">
        <v>208</v>
      </c>
      <c r="J20" s="164"/>
      <c r="K20" s="164"/>
      <c r="L20" s="164"/>
      <c r="M20" s="164"/>
      <c r="N20" s="36"/>
    </row>
    <row r="21" spans="1:14" ht="16.899999999999999" customHeight="1" x14ac:dyDescent="0.4">
      <c r="B21" s="36"/>
      <c r="C21" s="37"/>
      <c r="D21" s="37"/>
      <c r="E21" s="37"/>
      <c r="F21" s="37"/>
      <c r="G21" s="36"/>
      <c r="I21" s="36"/>
      <c r="J21" s="37"/>
      <c r="K21" s="37"/>
      <c r="L21" s="37"/>
      <c r="M21" s="37"/>
      <c r="N21" s="36"/>
    </row>
    <row r="22" spans="1:14" ht="16.899999999999999" customHeight="1" x14ac:dyDescent="0.4">
      <c r="B22" s="36"/>
      <c r="C22" s="37"/>
      <c r="D22" s="37"/>
      <c r="E22" s="37"/>
      <c r="F22" s="37"/>
      <c r="G22" s="36"/>
      <c r="I22" s="36"/>
      <c r="J22" s="37"/>
      <c r="K22" s="37"/>
      <c r="L22" s="37"/>
      <c r="M22" s="37"/>
      <c r="N22" s="36"/>
    </row>
    <row r="23" spans="1:14" ht="16.899999999999999" customHeight="1" x14ac:dyDescent="0.4">
      <c r="B23" s="36"/>
      <c r="C23" s="37"/>
      <c r="D23" s="37"/>
      <c r="E23" s="37"/>
      <c r="F23" s="37"/>
      <c r="G23" s="36"/>
      <c r="I23" s="36"/>
      <c r="J23" s="37"/>
      <c r="K23" s="37"/>
      <c r="L23" s="37"/>
      <c r="M23" s="37"/>
      <c r="N23" s="36"/>
    </row>
    <row r="24" spans="1:14" ht="16.899999999999999" customHeight="1" x14ac:dyDescent="0.4">
      <c r="B24" s="36"/>
      <c r="C24" s="37"/>
      <c r="D24" s="37"/>
      <c r="E24" s="37"/>
      <c r="F24" s="37"/>
      <c r="G24" s="36"/>
      <c r="I24" s="36"/>
      <c r="J24" s="37"/>
      <c r="K24" s="37"/>
      <c r="L24" s="37"/>
      <c r="M24" s="37"/>
      <c r="N24" s="36"/>
    </row>
    <row r="25" spans="1:14" ht="16.899999999999999" customHeight="1" x14ac:dyDescent="0.4">
      <c r="B25" s="36"/>
      <c r="C25" s="37"/>
      <c r="D25" s="37"/>
      <c r="E25" s="37"/>
      <c r="F25" s="37"/>
      <c r="G25" s="36"/>
      <c r="I25" s="36"/>
      <c r="J25" s="37"/>
      <c r="K25" s="37"/>
      <c r="L25" s="37"/>
      <c r="M25" s="37"/>
      <c r="N25" s="36"/>
    </row>
    <row r="26" spans="1:14" ht="16.899999999999999" customHeight="1" x14ac:dyDescent="0.4">
      <c r="B26" s="36"/>
      <c r="C26" s="37"/>
      <c r="D26" s="37"/>
      <c r="E26" s="37"/>
      <c r="F26" s="37"/>
      <c r="G26" s="36"/>
      <c r="I26" s="36"/>
      <c r="J26" s="37"/>
      <c r="K26" s="37"/>
      <c r="L26" s="37"/>
      <c r="M26" s="37"/>
      <c r="N26" s="36"/>
    </row>
    <row r="27" spans="1:14" ht="47.25" customHeight="1" x14ac:dyDescent="0.4">
      <c r="A27" s="66"/>
      <c r="B27" s="36"/>
      <c r="C27" s="37"/>
      <c r="D27" s="37"/>
      <c r="E27" s="37"/>
      <c r="F27" s="37"/>
      <c r="G27" s="66"/>
      <c r="H27" s="66"/>
      <c r="I27" s="180" t="s">
        <v>96</v>
      </c>
      <c r="J27" s="180"/>
      <c r="K27" s="180"/>
      <c r="L27" s="180"/>
      <c r="M27" s="180"/>
    </row>
    <row r="28" spans="1:14" ht="21" customHeight="1" x14ac:dyDescent="0.4">
      <c r="A28" s="66"/>
      <c r="B28" s="180" t="s">
        <v>96</v>
      </c>
      <c r="C28" s="180"/>
      <c r="D28" s="180"/>
      <c r="E28" s="180"/>
      <c r="F28" s="180"/>
      <c r="G28" s="67"/>
      <c r="H28" s="66"/>
      <c r="I28" s="181" t="s">
        <v>97</v>
      </c>
      <c r="J28" s="181"/>
      <c r="K28" s="181"/>
      <c r="L28" s="181"/>
      <c r="M28" s="181"/>
      <c r="N28" s="24"/>
    </row>
    <row r="29" spans="1:14" ht="21" customHeight="1" x14ac:dyDescent="0.4">
      <c r="A29" s="66"/>
      <c r="B29" s="181" t="s">
        <v>97</v>
      </c>
      <c r="C29" s="181"/>
      <c r="D29" s="181"/>
      <c r="E29" s="181"/>
      <c r="F29" s="181"/>
      <c r="G29" s="67"/>
      <c r="H29" s="66"/>
      <c r="I29" s="181" t="s">
        <v>98</v>
      </c>
      <c r="J29" s="181"/>
      <c r="K29" s="181"/>
      <c r="L29" s="181"/>
      <c r="M29" s="181"/>
      <c r="N29" s="24"/>
    </row>
    <row r="30" spans="1:14" ht="21" customHeight="1" thickBot="1" x14ac:dyDescent="0.45">
      <c r="A30" s="66"/>
      <c r="B30" s="181" t="s">
        <v>98</v>
      </c>
      <c r="C30" s="181"/>
      <c r="D30" s="181"/>
      <c r="E30" s="181"/>
      <c r="F30" s="181"/>
      <c r="G30" s="67"/>
      <c r="H30" s="66"/>
      <c r="I30" s="186" t="s">
        <v>245</v>
      </c>
      <c r="J30" s="186"/>
      <c r="K30" s="186"/>
      <c r="L30" s="186"/>
      <c r="M30" s="186"/>
      <c r="N30" s="24"/>
    </row>
    <row r="31" spans="1:14" ht="18" customHeight="1" thickTop="1" x14ac:dyDescent="0.4">
      <c r="A31" s="66"/>
      <c r="B31" s="181" t="s">
        <v>245</v>
      </c>
      <c r="C31" s="181"/>
      <c r="D31" s="181"/>
      <c r="E31" s="181"/>
      <c r="F31" s="181"/>
      <c r="G31" s="72"/>
      <c r="H31" s="66"/>
      <c r="I31" s="174" t="s">
        <v>100</v>
      </c>
      <c r="J31" s="175"/>
      <c r="K31" s="175"/>
      <c r="L31" s="175"/>
      <c r="M31" s="176"/>
      <c r="N31" s="32"/>
    </row>
    <row r="32" spans="1:14" ht="18" customHeight="1" x14ac:dyDescent="0.4">
      <c r="A32" s="66"/>
      <c r="B32" s="174" t="s">
        <v>100</v>
      </c>
      <c r="C32" s="175"/>
      <c r="D32" s="175"/>
      <c r="E32" s="175"/>
      <c r="F32" s="176"/>
      <c r="G32" s="72"/>
      <c r="H32" s="66"/>
      <c r="I32" s="177" t="s">
        <v>101</v>
      </c>
      <c r="J32" s="178"/>
      <c r="K32" s="178"/>
      <c r="L32" s="178"/>
      <c r="M32" s="179"/>
      <c r="N32" s="32"/>
    </row>
    <row r="33" spans="1:14" ht="18" customHeight="1" x14ac:dyDescent="0.4">
      <c r="A33" s="66"/>
      <c r="B33" s="177" t="s">
        <v>101</v>
      </c>
      <c r="C33" s="178"/>
      <c r="D33" s="178"/>
      <c r="E33" s="178"/>
      <c r="F33" s="179"/>
      <c r="G33" s="66"/>
      <c r="H33" s="66"/>
      <c r="I33" s="166" t="s">
        <v>246</v>
      </c>
      <c r="J33" s="167"/>
      <c r="K33" s="167"/>
      <c r="L33" s="167"/>
      <c r="M33" s="79">
        <v>0</v>
      </c>
    </row>
    <row r="34" spans="1:14" ht="18" customHeight="1" x14ac:dyDescent="0.4">
      <c r="A34" s="66"/>
      <c r="B34" s="166" t="s">
        <v>246</v>
      </c>
      <c r="C34" s="167"/>
      <c r="D34" s="167"/>
      <c r="E34" s="167"/>
      <c r="F34" s="78">
        <v>0</v>
      </c>
      <c r="G34" s="66"/>
      <c r="H34" s="66"/>
      <c r="I34" s="166" t="s">
        <v>211</v>
      </c>
      <c r="J34" s="167"/>
      <c r="K34" s="167"/>
      <c r="L34" s="167"/>
      <c r="M34" s="68">
        <v>0</v>
      </c>
    </row>
    <row r="35" spans="1:14" ht="18" customHeight="1" x14ac:dyDescent="0.4">
      <c r="A35" s="66"/>
      <c r="B35" s="166" t="s">
        <v>211</v>
      </c>
      <c r="C35" s="167"/>
      <c r="D35" s="167"/>
      <c r="E35" s="167"/>
      <c r="F35" s="68">
        <v>0</v>
      </c>
      <c r="G35" s="66"/>
      <c r="H35" s="66"/>
      <c r="I35" s="166" t="s">
        <v>213</v>
      </c>
      <c r="J35" s="167"/>
      <c r="K35" s="167"/>
      <c r="L35" s="167"/>
      <c r="M35" s="68">
        <v>0</v>
      </c>
    </row>
    <row r="36" spans="1:14" ht="18" customHeight="1" x14ac:dyDescent="0.4">
      <c r="A36" s="66"/>
      <c r="B36" s="166" t="s">
        <v>212</v>
      </c>
      <c r="C36" s="167"/>
      <c r="D36" s="167"/>
      <c r="E36" s="167"/>
      <c r="F36" s="68">
        <v>0</v>
      </c>
      <c r="G36" s="66"/>
      <c r="H36" s="66"/>
      <c r="I36" s="166" t="s">
        <v>214</v>
      </c>
      <c r="J36" s="167"/>
      <c r="K36" s="167"/>
      <c r="L36" s="167"/>
      <c r="M36" s="68">
        <v>0</v>
      </c>
    </row>
    <row r="37" spans="1:14" ht="18" customHeight="1" x14ac:dyDescent="0.4">
      <c r="A37" s="66"/>
      <c r="B37" s="166" t="s">
        <v>214</v>
      </c>
      <c r="C37" s="167"/>
      <c r="D37" s="167"/>
      <c r="E37" s="167"/>
      <c r="F37" s="68">
        <v>0</v>
      </c>
      <c r="G37" s="66"/>
      <c r="H37" s="66"/>
      <c r="I37" s="172" t="s">
        <v>107</v>
      </c>
      <c r="J37" s="173"/>
      <c r="K37" s="173"/>
      <c r="L37" s="173"/>
      <c r="M37" s="69"/>
    </row>
    <row r="38" spans="1:14" ht="18" customHeight="1" x14ac:dyDescent="0.4">
      <c r="A38" s="66"/>
      <c r="B38" s="172" t="s">
        <v>107</v>
      </c>
      <c r="C38" s="173"/>
      <c r="D38" s="173"/>
      <c r="E38" s="173"/>
      <c r="F38" s="69"/>
      <c r="G38" s="66"/>
      <c r="H38" s="66"/>
      <c r="I38" s="166" t="s">
        <v>215</v>
      </c>
      <c r="J38" s="167"/>
      <c r="K38" s="167"/>
      <c r="L38" s="167"/>
      <c r="M38" s="68">
        <v>0</v>
      </c>
    </row>
    <row r="39" spans="1:14" ht="18" customHeight="1" x14ac:dyDescent="0.4">
      <c r="A39" s="66"/>
      <c r="B39" s="166" t="s">
        <v>215</v>
      </c>
      <c r="C39" s="167"/>
      <c r="D39" s="167"/>
      <c r="E39" s="167"/>
      <c r="F39" s="68">
        <v>0</v>
      </c>
      <c r="G39" s="66"/>
      <c r="H39" s="66"/>
      <c r="I39" s="166" t="s">
        <v>216</v>
      </c>
      <c r="J39" s="167"/>
      <c r="K39" s="167"/>
      <c r="L39" s="167"/>
      <c r="M39" s="68">
        <v>0</v>
      </c>
    </row>
    <row r="40" spans="1:14" ht="28.5" customHeight="1" x14ac:dyDescent="0.4">
      <c r="A40" s="66"/>
      <c r="B40" s="166" t="s">
        <v>216</v>
      </c>
      <c r="C40" s="167"/>
      <c r="D40" s="167"/>
      <c r="E40" s="167"/>
      <c r="F40" s="68">
        <v>0</v>
      </c>
      <c r="G40" s="66"/>
      <c r="H40" s="66"/>
      <c r="I40" s="166" t="s">
        <v>217</v>
      </c>
      <c r="J40" s="167"/>
      <c r="K40" s="167"/>
      <c r="L40" s="167"/>
      <c r="M40" s="68">
        <v>0</v>
      </c>
      <c r="N40" s="39"/>
    </row>
    <row r="41" spans="1:14" ht="22.5" customHeight="1" x14ac:dyDescent="0.3">
      <c r="A41" s="66"/>
      <c r="B41" s="166" t="s">
        <v>217</v>
      </c>
      <c r="C41" s="167"/>
      <c r="D41" s="167"/>
      <c r="E41" s="167"/>
      <c r="F41" s="68">
        <v>0</v>
      </c>
      <c r="G41" s="66"/>
      <c r="H41" s="66"/>
      <c r="I41" s="166" t="s">
        <v>218</v>
      </c>
      <c r="J41" s="167"/>
      <c r="K41" s="167"/>
      <c r="L41" s="167"/>
      <c r="M41" s="68">
        <v>0</v>
      </c>
      <c r="N41" s="34"/>
    </row>
    <row r="42" spans="1:14" ht="42.75" customHeight="1" x14ac:dyDescent="0.4">
      <c r="A42" s="66"/>
      <c r="B42" s="166" t="s">
        <v>218</v>
      </c>
      <c r="C42" s="167"/>
      <c r="D42" s="167"/>
      <c r="E42" s="167"/>
      <c r="F42" s="68">
        <v>0</v>
      </c>
      <c r="G42" s="80"/>
      <c r="H42" s="66"/>
      <c r="I42" s="168" t="s">
        <v>112</v>
      </c>
      <c r="J42" s="169"/>
      <c r="K42" s="169"/>
      <c r="L42" s="169"/>
      <c r="M42" s="70">
        <f>SUM(M33:M36)-SUM(M38:M41)</f>
        <v>0</v>
      </c>
      <c r="N42" s="35"/>
    </row>
    <row r="43" spans="1:14" ht="31.5" customHeight="1" thickBot="1" x14ac:dyDescent="0.35">
      <c r="A43" s="66"/>
      <c r="B43" s="168" t="s">
        <v>112</v>
      </c>
      <c r="C43" s="169"/>
      <c r="D43" s="169"/>
      <c r="E43" s="169"/>
      <c r="F43" s="70">
        <f>SUM(F34:F37)-SUM(F39:F42)</f>
        <v>0</v>
      </c>
      <c r="G43" s="74"/>
      <c r="H43" s="66"/>
      <c r="I43" s="171" t="s">
        <v>247</v>
      </c>
      <c r="J43" s="171"/>
      <c r="K43" s="171"/>
      <c r="L43" s="171"/>
      <c r="M43" s="171"/>
      <c r="N43" s="40"/>
    </row>
    <row r="44" spans="1:14" ht="28.5" customHeight="1" thickTop="1" x14ac:dyDescent="0.3">
      <c r="A44" s="66"/>
      <c r="B44" s="170" t="s">
        <v>247</v>
      </c>
      <c r="C44" s="170"/>
      <c r="D44" s="170"/>
      <c r="E44" s="170"/>
      <c r="F44" s="170"/>
      <c r="G44" s="75"/>
      <c r="H44" s="66"/>
      <c r="I44" s="163" t="s">
        <v>114</v>
      </c>
      <c r="J44" s="163"/>
      <c r="K44" s="163"/>
      <c r="L44" s="163"/>
      <c r="M44" s="163"/>
      <c r="N44" s="40"/>
    </row>
    <row r="45" spans="1:14" ht="17.100000000000001" customHeight="1" x14ac:dyDescent="0.3">
      <c r="B45" s="163" t="s">
        <v>114</v>
      </c>
      <c r="C45" s="163"/>
      <c r="D45" s="163"/>
      <c r="E45" s="163"/>
      <c r="F45" s="163"/>
      <c r="G45" s="40"/>
      <c r="I45" s="162"/>
      <c r="J45" s="162"/>
      <c r="K45" s="162"/>
      <c r="L45" s="162"/>
      <c r="M45" s="162"/>
      <c r="N45" s="40"/>
    </row>
    <row r="46" spans="1:14" ht="17.100000000000001" customHeight="1" x14ac:dyDescent="0.4">
      <c r="B46" s="161"/>
      <c r="C46" s="161"/>
      <c r="D46" s="161"/>
      <c r="E46" s="161"/>
      <c r="F46" s="161"/>
      <c r="G46" s="40"/>
      <c r="I46" s="119" t="s">
        <v>220</v>
      </c>
      <c r="J46" s="119"/>
      <c r="K46" s="119"/>
      <c r="L46" s="119"/>
      <c r="M46" s="119"/>
      <c r="N46" s="40"/>
    </row>
    <row r="47" spans="1:14" ht="17.100000000000001" customHeight="1" x14ac:dyDescent="0.4">
      <c r="B47" s="119" t="s">
        <v>220</v>
      </c>
      <c r="C47" s="119"/>
      <c r="D47" s="119"/>
      <c r="E47" s="119"/>
      <c r="F47" s="119"/>
      <c r="G47" s="40"/>
      <c r="I47" s="40"/>
      <c r="J47" s="37"/>
      <c r="K47" s="37"/>
      <c r="L47" s="37"/>
      <c r="M47" s="37"/>
      <c r="N47" s="40"/>
    </row>
    <row r="48" spans="1:14" ht="17.100000000000001" customHeight="1" x14ac:dyDescent="0.4">
      <c r="B48" s="40"/>
      <c r="C48" s="37"/>
      <c r="D48" s="37"/>
      <c r="E48" s="37"/>
      <c r="F48" s="37"/>
      <c r="G48" s="40"/>
      <c r="I48" s="40"/>
      <c r="J48" s="37"/>
      <c r="K48" s="37"/>
      <c r="L48" s="37"/>
      <c r="M48" s="37"/>
      <c r="N48" s="40"/>
    </row>
    <row r="49" spans="1:14" ht="17.100000000000001" customHeight="1" x14ac:dyDescent="0.4">
      <c r="B49" s="40"/>
      <c r="C49" s="37"/>
      <c r="D49" s="37"/>
      <c r="E49" s="37"/>
      <c r="F49" s="37"/>
      <c r="G49" s="40"/>
      <c r="I49" s="40"/>
      <c r="J49" s="37"/>
      <c r="K49" s="37"/>
      <c r="L49" s="37"/>
      <c r="M49" s="37"/>
      <c r="N49" s="40"/>
    </row>
    <row r="50" spans="1:14" ht="17.100000000000001" customHeight="1" x14ac:dyDescent="0.4">
      <c r="B50" s="40"/>
      <c r="C50" s="37"/>
      <c r="D50" s="37"/>
      <c r="E50" s="37"/>
      <c r="F50" s="37"/>
      <c r="G50" s="40"/>
      <c r="I50" s="40"/>
      <c r="J50" s="37"/>
      <c r="K50" s="37"/>
      <c r="L50" s="37"/>
      <c r="M50" s="37"/>
      <c r="N50" s="40"/>
    </row>
    <row r="51" spans="1:14" ht="17.100000000000001" customHeight="1" x14ac:dyDescent="0.4">
      <c r="B51" s="40"/>
      <c r="C51" s="37"/>
      <c r="D51" s="37"/>
      <c r="E51" s="37"/>
      <c r="F51" s="37"/>
      <c r="G51" s="40"/>
      <c r="I51" s="40"/>
      <c r="J51" s="37"/>
      <c r="K51" s="37"/>
      <c r="L51" s="37"/>
      <c r="M51" s="37"/>
      <c r="N51" s="40"/>
    </row>
    <row r="52" spans="1:14" ht="17.100000000000001" customHeight="1" x14ac:dyDescent="0.4">
      <c r="B52" s="40"/>
      <c r="C52" s="37"/>
      <c r="D52" s="37"/>
      <c r="E52" s="37"/>
      <c r="F52" s="37"/>
      <c r="G52" s="40"/>
      <c r="I52" s="40"/>
      <c r="J52" s="37"/>
      <c r="K52" s="37"/>
      <c r="L52" s="37"/>
      <c r="M52" s="37"/>
      <c r="N52" s="40"/>
    </row>
    <row r="53" spans="1:14" ht="17.100000000000001" customHeight="1" x14ac:dyDescent="0.4">
      <c r="B53" s="40"/>
      <c r="C53" s="37"/>
      <c r="D53" s="37"/>
      <c r="E53" s="37"/>
      <c r="F53" s="37"/>
      <c r="G53" s="40"/>
      <c r="I53" s="40"/>
      <c r="J53" s="37"/>
      <c r="K53" s="37"/>
      <c r="L53" s="37"/>
      <c r="M53" s="37"/>
      <c r="N53" s="40"/>
    </row>
    <row r="54" spans="1:14" ht="47.25" customHeight="1" x14ac:dyDescent="0.4">
      <c r="B54" s="40"/>
      <c r="C54" s="37"/>
      <c r="D54" s="37"/>
      <c r="E54" s="37"/>
      <c r="F54" s="37"/>
      <c r="G54" s="40"/>
      <c r="I54" s="40"/>
      <c r="J54" s="37"/>
      <c r="K54" s="37"/>
      <c r="L54" s="37"/>
      <c r="M54" s="37"/>
    </row>
    <row r="55" spans="1:14" ht="21" hidden="1" customHeight="1" x14ac:dyDescent="0.4">
      <c r="B55" s="40"/>
      <c r="C55" s="37"/>
      <c r="D55" s="37"/>
      <c r="E55" s="37"/>
      <c r="F55" s="37"/>
      <c r="G55" s="40"/>
      <c r="I55" s="40"/>
      <c r="J55" s="37"/>
      <c r="K55" s="37"/>
      <c r="L55" s="37"/>
      <c r="M55" s="37"/>
      <c r="N55" s="24"/>
    </row>
    <row r="56" spans="1:14" ht="20.25" customHeight="1" x14ac:dyDescent="0.4">
      <c r="A56" s="66"/>
      <c r="B56" s="40"/>
      <c r="C56" s="37"/>
      <c r="D56" s="37"/>
      <c r="E56" s="37"/>
      <c r="F56" s="37"/>
      <c r="G56" s="66"/>
      <c r="H56" s="66"/>
      <c r="I56" s="81"/>
      <c r="J56" s="76"/>
      <c r="K56" s="76"/>
      <c r="L56" s="76"/>
      <c r="M56" s="76"/>
      <c r="N56" s="24"/>
    </row>
    <row r="57" spans="1:14" ht="45.75" customHeight="1" x14ac:dyDescent="0.4">
      <c r="A57" s="66"/>
      <c r="B57" s="180" t="s">
        <v>96</v>
      </c>
      <c r="C57" s="180"/>
      <c r="D57" s="180"/>
      <c r="E57" s="180"/>
      <c r="F57" s="180"/>
      <c r="G57" s="67"/>
      <c r="H57" s="66"/>
      <c r="I57" s="180" t="s">
        <v>96</v>
      </c>
      <c r="J57" s="180"/>
      <c r="K57" s="180"/>
      <c r="L57" s="180"/>
      <c r="M57" s="180"/>
      <c r="N57" s="24"/>
    </row>
    <row r="58" spans="1:14" ht="18" customHeight="1" x14ac:dyDescent="0.4">
      <c r="A58" s="66"/>
      <c r="B58" s="180"/>
      <c r="C58" s="180"/>
      <c r="D58" s="180"/>
      <c r="E58" s="180"/>
      <c r="F58" s="180"/>
      <c r="G58" s="67"/>
      <c r="H58" s="66"/>
      <c r="I58" s="180"/>
      <c r="J58" s="180"/>
      <c r="K58" s="180"/>
      <c r="L58" s="180"/>
      <c r="M58" s="180"/>
    </row>
    <row r="59" spans="1:14" ht="18" customHeight="1" x14ac:dyDescent="0.4">
      <c r="A59" s="66"/>
      <c r="B59" s="181" t="s">
        <v>97</v>
      </c>
      <c r="C59" s="181"/>
      <c r="D59" s="181"/>
      <c r="E59" s="181"/>
      <c r="F59" s="181"/>
      <c r="G59" s="67"/>
      <c r="H59" s="66"/>
      <c r="I59" s="181" t="s">
        <v>97</v>
      </c>
      <c r="J59" s="181"/>
      <c r="K59" s="181"/>
      <c r="L59" s="181"/>
      <c r="M59" s="181"/>
    </row>
    <row r="60" spans="1:14" ht="18" customHeight="1" x14ac:dyDescent="0.4">
      <c r="A60" s="66"/>
      <c r="B60" s="181" t="s">
        <v>98</v>
      </c>
      <c r="C60" s="181"/>
      <c r="D60" s="181"/>
      <c r="E60" s="181"/>
      <c r="F60" s="181"/>
      <c r="G60" s="66"/>
      <c r="H60" s="66"/>
      <c r="I60" s="181" t="s">
        <v>98</v>
      </c>
      <c r="J60" s="181"/>
      <c r="K60" s="181"/>
      <c r="L60" s="181"/>
      <c r="M60" s="181"/>
    </row>
    <row r="61" spans="1:14" ht="18" customHeight="1" x14ac:dyDescent="0.4">
      <c r="A61" s="66"/>
      <c r="B61" s="181" t="s">
        <v>221</v>
      </c>
      <c r="C61" s="181"/>
      <c r="D61" s="181"/>
      <c r="E61" s="181"/>
      <c r="F61" s="181"/>
      <c r="G61" s="66"/>
      <c r="H61" s="66"/>
      <c r="I61" s="181" t="s">
        <v>221</v>
      </c>
      <c r="J61" s="181"/>
      <c r="K61" s="181"/>
      <c r="L61" s="181"/>
      <c r="M61" s="181"/>
    </row>
    <row r="62" spans="1:14" x14ac:dyDescent="0.4">
      <c r="A62" s="66"/>
      <c r="B62" s="174" t="s">
        <v>100</v>
      </c>
      <c r="C62" s="175"/>
      <c r="D62" s="175"/>
      <c r="E62" s="175"/>
      <c r="F62" s="176"/>
      <c r="G62" s="66"/>
      <c r="H62" s="66"/>
      <c r="I62" s="174" t="s">
        <v>100</v>
      </c>
      <c r="J62" s="175"/>
      <c r="K62" s="175"/>
      <c r="L62" s="175"/>
      <c r="M62" s="176"/>
    </row>
    <row r="63" spans="1:14" x14ac:dyDescent="0.4">
      <c r="A63" s="66"/>
      <c r="B63" s="177" t="s">
        <v>101</v>
      </c>
      <c r="C63" s="178"/>
      <c r="D63" s="178"/>
      <c r="E63" s="178"/>
      <c r="F63" s="179"/>
      <c r="G63" s="66"/>
      <c r="H63" s="66"/>
      <c r="I63" s="177" t="s">
        <v>101</v>
      </c>
      <c r="J63" s="178"/>
      <c r="K63" s="178"/>
      <c r="L63" s="178"/>
      <c r="M63" s="179"/>
    </row>
    <row r="64" spans="1:14" ht="18" customHeight="1" x14ac:dyDescent="0.4">
      <c r="A64" s="66"/>
      <c r="B64" s="166" t="s">
        <v>265</v>
      </c>
      <c r="C64" s="167"/>
      <c r="D64" s="167"/>
      <c r="E64" s="167"/>
      <c r="F64" s="78">
        <v>2000</v>
      </c>
      <c r="G64" s="66"/>
      <c r="H64" s="66"/>
      <c r="I64" s="166" t="s">
        <v>265</v>
      </c>
      <c r="J64" s="167"/>
      <c r="K64" s="167"/>
      <c r="L64" s="167"/>
      <c r="M64" s="78">
        <v>2000</v>
      </c>
    </row>
    <row r="65" spans="1:14" ht="18" customHeight="1" x14ac:dyDescent="0.4">
      <c r="A65" s="66"/>
      <c r="B65" s="184" t="s">
        <v>222</v>
      </c>
      <c r="C65" s="185"/>
      <c r="D65" s="185"/>
      <c r="E65" s="185"/>
      <c r="F65" s="68">
        <v>270.23</v>
      </c>
      <c r="G65" s="66"/>
      <c r="H65" s="66"/>
      <c r="I65" s="184" t="s">
        <v>222</v>
      </c>
      <c r="J65" s="185"/>
      <c r="K65" s="185"/>
      <c r="L65" s="185"/>
      <c r="M65" s="68">
        <v>270.23</v>
      </c>
    </row>
    <row r="66" spans="1:14" ht="18" customHeight="1" x14ac:dyDescent="0.4">
      <c r="A66" s="66"/>
      <c r="B66" s="184" t="s">
        <v>106</v>
      </c>
      <c r="C66" s="185"/>
      <c r="D66" s="185"/>
      <c r="E66" s="185"/>
      <c r="F66" s="68">
        <v>74.459999999999994</v>
      </c>
      <c r="G66" s="66"/>
      <c r="H66" s="66"/>
      <c r="I66" s="184" t="s">
        <v>106</v>
      </c>
      <c r="J66" s="185"/>
      <c r="K66" s="185"/>
      <c r="L66" s="185"/>
      <c r="M66" s="68">
        <v>74.459999999999994</v>
      </c>
    </row>
    <row r="67" spans="1:14" ht="18" customHeight="1" x14ac:dyDescent="0.4">
      <c r="A67" s="66"/>
      <c r="B67" s="184" t="s">
        <v>276</v>
      </c>
      <c r="C67" s="185"/>
      <c r="D67" s="185"/>
      <c r="E67" s="185"/>
      <c r="F67" s="78">
        <v>300</v>
      </c>
      <c r="G67" s="66"/>
      <c r="H67" s="66"/>
      <c r="I67" s="184" t="s">
        <v>276</v>
      </c>
      <c r="J67" s="185"/>
      <c r="K67" s="185"/>
      <c r="L67" s="185"/>
      <c r="M67" s="78">
        <v>300</v>
      </c>
    </row>
    <row r="68" spans="1:14" ht="21.75" customHeight="1" x14ac:dyDescent="0.4">
      <c r="A68" s="66"/>
      <c r="B68" s="172" t="s">
        <v>107</v>
      </c>
      <c r="C68" s="173"/>
      <c r="D68" s="173"/>
      <c r="E68" s="173"/>
      <c r="F68" s="69"/>
      <c r="G68" s="66"/>
      <c r="H68" s="66"/>
      <c r="I68" s="172" t="s">
        <v>107</v>
      </c>
      <c r="J68" s="173"/>
      <c r="K68" s="173"/>
      <c r="L68" s="173"/>
      <c r="M68" s="69"/>
      <c r="N68" s="39"/>
    </row>
    <row r="69" spans="1:14" ht="27.75" customHeight="1" x14ac:dyDescent="0.3">
      <c r="A69" s="66"/>
      <c r="B69" s="166" t="s">
        <v>109</v>
      </c>
      <c r="C69" s="167"/>
      <c r="D69" s="167"/>
      <c r="E69" s="167"/>
      <c r="F69" s="68">
        <v>158.96</v>
      </c>
      <c r="G69" s="66"/>
      <c r="H69" s="66"/>
      <c r="I69" s="166" t="s">
        <v>109</v>
      </c>
      <c r="J69" s="167"/>
      <c r="K69" s="167"/>
      <c r="L69" s="167"/>
      <c r="M69" s="68">
        <v>158.96</v>
      </c>
      <c r="N69" s="34"/>
    </row>
    <row r="70" spans="1:14" ht="22.5" customHeight="1" x14ac:dyDescent="0.4">
      <c r="A70" s="66"/>
      <c r="B70" s="166" t="s">
        <v>249</v>
      </c>
      <c r="C70" s="167"/>
      <c r="D70" s="167"/>
      <c r="E70" s="167"/>
      <c r="F70" s="68">
        <v>16.899999999999999</v>
      </c>
      <c r="G70" s="66"/>
      <c r="H70" s="66"/>
      <c r="I70" s="166" t="s">
        <v>249</v>
      </c>
      <c r="J70" s="167"/>
      <c r="K70" s="167"/>
      <c r="L70" s="167"/>
      <c r="M70" s="68">
        <v>16.899999999999999</v>
      </c>
      <c r="N70" s="35"/>
    </row>
    <row r="71" spans="1:14" ht="30.75" customHeight="1" x14ac:dyDescent="0.4">
      <c r="A71" s="66"/>
      <c r="B71" s="166" t="s">
        <v>224</v>
      </c>
      <c r="C71" s="167"/>
      <c r="D71" s="167"/>
      <c r="E71" s="167"/>
      <c r="F71" s="68">
        <v>38.270000000000003</v>
      </c>
      <c r="G71" s="80"/>
      <c r="H71" s="66"/>
      <c r="I71" s="166" t="s">
        <v>224</v>
      </c>
      <c r="J71" s="167"/>
      <c r="K71" s="167"/>
      <c r="L71" s="167"/>
      <c r="M71" s="68">
        <v>38.270000000000003</v>
      </c>
      <c r="N71" s="36"/>
    </row>
    <row r="72" spans="1:14" ht="58.5" customHeight="1" x14ac:dyDescent="0.3">
      <c r="A72" s="66"/>
      <c r="B72" s="166" t="s">
        <v>225</v>
      </c>
      <c r="C72" s="167"/>
      <c r="D72" s="167"/>
      <c r="E72" s="167"/>
      <c r="F72" s="68">
        <v>800</v>
      </c>
      <c r="G72" s="74"/>
      <c r="H72" s="66"/>
      <c r="I72" s="166" t="s">
        <v>225</v>
      </c>
      <c r="J72" s="167"/>
      <c r="K72" s="167"/>
      <c r="L72" s="167"/>
      <c r="M72" s="68">
        <v>800</v>
      </c>
      <c r="N72" s="36"/>
    </row>
    <row r="73" spans="1:14" ht="31.5" customHeight="1" x14ac:dyDescent="0.4">
      <c r="A73" s="66"/>
      <c r="B73" s="182" t="s">
        <v>112</v>
      </c>
      <c r="C73" s="183"/>
      <c r="D73" s="183"/>
      <c r="E73" s="183"/>
      <c r="F73" s="70">
        <f>SUM(F64:F67)-SUM(F69:F72)</f>
        <v>1630.56</v>
      </c>
      <c r="G73" s="75"/>
      <c r="H73" s="66"/>
      <c r="I73" s="182" t="s">
        <v>112</v>
      </c>
      <c r="J73" s="183"/>
      <c r="K73" s="183"/>
      <c r="L73" s="183"/>
      <c r="M73" s="70">
        <f>SUM(M64:M67)-SUM(M69:M72)</f>
        <v>1630.56</v>
      </c>
      <c r="N73" s="36"/>
    </row>
    <row r="74" spans="1:14" ht="33" customHeight="1" x14ac:dyDescent="0.4">
      <c r="A74" s="66"/>
      <c r="B74" s="170" t="s">
        <v>266</v>
      </c>
      <c r="C74" s="170"/>
      <c r="D74" s="170"/>
      <c r="E74" s="170"/>
      <c r="F74" s="170"/>
      <c r="G74" s="77"/>
      <c r="H74" s="66"/>
      <c r="I74" s="170" t="s">
        <v>266</v>
      </c>
      <c r="J74" s="170"/>
      <c r="K74" s="170"/>
      <c r="L74" s="170"/>
      <c r="M74" s="170"/>
      <c r="N74" s="36"/>
    </row>
    <row r="75" spans="1:14" ht="17.100000000000001" customHeight="1" x14ac:dyDescent="0.4">
      <c r="A75" s="66"/>
      <c r="B75" s="163" t="s">
        <v>114</v>
      </c>
      <c r="C75" s="163"/>
      <c r="D75" s="163"/>
      <c r="E75" s="163"/>
      <c r="F75" s="163"/>
      <c r="G75" s="77"/>
      <c r="H75" s="66"/>
      <c r="I75" s="163" t="s">
        <v>114</v>
      </c>
      <c r="J75" s="163"/>
      <c r="K75" s="163"/>
      <c r="L75" s="163"/>
      <c r="M75" s="163"/>
      <c r="N75" s="36"/>
    </row>
    <row r="76" spans="1:14" ht="17.100000000000001" customHeight="1" x14ac:dyDescent="0.4">
      <c r="B76" s="163"/>
      <c r="C76" s="163"/>
      <c r="D76" s="163"/>
      <c r="E76" s="163"/>
      <c r="F76" s="163"/>
      <c r="G76" s="36"/>
      <c r="I76" s="163"/>
      <c r="J76" s="163"/>
      <c r="K76" s="163"/>
      <c r="L76" s="163"/>
      <c r="M76" s="163"/>
      <c r="N76" s="36"/>
    </row>
    <row r="77" spans="1:14" ht="17.100000000000001" customHeight="1" x14ac:dyDescent="0.4">
      <c r="B77" s="164" t="s">
        <v>227</v>
      </c>
      <c r="C77" s="164"/>
      <c r="D77" s="164"/>
      <c r="E77" s="164"/>
      <c r="F77" s="164"/>
      <c r="G77" s="36"/>
      <c r="I77" s="164" t="s">
        <v>227</v>
      </c>
      <c r="J77" s="164"/>
      <c r="K77" s="164"/>
      <c r="L77" s="164"/>
      <c r="M77" s="164"/>
      <c r="N77" s="36"/>
    </row>
    <row r="78" spans="1:14" ht="17.100000000000001" customHeight="1" x14ac:dyDescent="0.4">
      <c r="B78" s="36"/>
      <c r="C78" s="37"/>
      <c r="D78" s="37"/>
      <c r="E78" s="37"/>
      <c r="F78" s="37"/>
      <c r="G78" s="36"/>
      <c r="I78" s="36"/>
      <c r="J78" s="37"/>
      <c r="K78" s="37"/>
      <c r="L78" s="37"/>
      <c r="M78" s="37"/>
      <c r="N78" s="36"/>
    </row>
    <row r="79" spans="1:14" ht="47.25" customHeight="1" x14ac:dyDescent="0.4">
      <c r="B79" s="36"/>
      <c r="C79" s="37"/>
      <c r="D79" s="37"/>
      <c r="E79" s="37"/>
      <c r="F79" s="37"/>
      <c r="G79" s="36"/>
      <c r="I79" s="36"/>
      <c r="J79" s="37"/>
      <c r="K79" s="37"/>
      <c r="L79" s="37"/>
      <c r="M79" s="37"/>
    </row>
    <row r="80" spans="1:14" ht="21" customHeight="1" x14ac:dyDescent="0.4">
      <c r="B80" s="36"/>
      <c r="C80" s="37"/>
      <c r="D80" s="37"/>
      <c r="E80" s="37"/>
      <c r="F80" s="37"/>
      <c r="G80" s="36"/>
      <c r="I80" s="36"/>
      <c r="J80" s="37"/>
      <c r="K80" s="37"/>
      <c r="L80" s="37"/>
      <c r="M80" s="37"/>
      <c r="N80" s="24"/>
    </row>
    <row r="81" spans="2:16" ht="21" customHeight="1" x14ac:dyDescent="0.4">
      <c r="B81" s="36"/>
      <c r="C81" s="37"/>
      <c r="D81" s="37"/>
      <c r="E81" s="37"/>
      <c r="F81" s="37"/>
      <c r="G81" s="36"/>
      <c r="I81" s="36"/>
      <c r="J81" s="37"/>
      <c r="K81" s="37"/>
      <c r="L81" s="37"/>
      <c r="M81" s="37"/>
      <c r="N81" s="24"/>
    </row>
    <row r="82" spans="2:16" ht="21" customHeight="1" x14ac:dyDescent="0.4">
      <c r="B82" s="36"/>
      <c r="C82" s="37"/>
      <c r="D82" s="37"/>
      <c r="E82" s="37"/>
      <c r="F82" s="37"/>
      <c r="G82" s="66"/>
      <c r="H82" s="66"/>
      <c r="I82" s="77"/>
      <c r="J82" s="76"/>
      <c r="K82" s="76"/>
      <c r="L82" s="76"/>
      <c r="M82" s="76"/>
      <c r="N82" s="24"/>
    </row>
    <row r="83" spans="2:16" ht="27.75" customHeight="1" x14ac:dyDescent="0.4">
      <c r="B83" s="36"/>
      <c r="C83" s="37"/>
      <c r="D83" s="37"/>
      <c r="E83" s="37"/>
      <c r="F83" s="37"/>
      <c r="G83" s="67"/>
      <c r="H83" s="66"/>
      <c r="I83" s="180"/>
      <c r="J83" s="180"/>
      <c r="K83" s="180"/>
      <c r="L83" s="180"/>
      <c r="M83" s="180"/>
      <c r="N83" s="32"/>
    </row>
    <row r="84" spans="2:16" ht="61.5" x14ac:dyDescent="0.4">
      <c r="B84" s="180" t="s">
        <v>96</v>
      </c>
      <c r="C84" s="180"/>
      <c r="D84" s="180"/>
      <c r="E84" s="180"/>
      <c r="F84" s="180"/>
      <c r="G84" s="67"/>
      <c r="H84" s="66"/>
      <c r="I84" s="180" t="s">
        <v>96</v>
      </c>
      <c r="J84" s="180"/>
      <c r="K84" s="180"/>
      <c r="L84" s="180"/>
      <c r="M84" s="180"/>
      <c r="N84" s="32"/>
      <c r="O84" s="21"/>
    </row>
    <row r="85" spans="2:16" ht="18" customHeight="1" x14ac:dyDescent="0.4">
      <c r="B85" s="180"/>
      <c r="C85" s="180"/>
      <c r="D85" s="180"/>
      <c r="E85" s="180"/>
      <c r="F85" s="180"/>
      <c r="G85" s="67"/>
      <c r="H85" s="66"/>
      <c r="I85" s="180"/>
      <c r="J85" s="180"/>
      <c r="K85" s="180"/>
      <c r="L85" s="180"/>
      <c r="M85" s="180"/>
      <c r="P85" s="21">
        <f>M89+M90</f>
        <v>0</v>
      </c>
    </row>
    <row r="86" spans="2:16" ht="18" customHeight="1" x14ac:dyDescent="0.4">
      <c r="B86" s="181" t="s">
        <v>97</v>
      </c>
      <c r="C86" s="181"/>
      <c r="D86" s="181"/>
      <c r="E86" s="181"/>
      <c r="F86" s="181"/>
      <c r="G86" s="72"/>
      <c r="H86" s="66"/>
      <c r="I86" s="181" t="s">
        <v>97</v>
      </c>
      <c r="J86" s="181"/>
      <c r="K86" s="181"/>
      <c r="L86" s="181"/>
      <c r="M86" s="181"/>
    </row>
    <row r="87" spans="2:16" x14ac:dyDescent="0.4">
      <c r="B87" s="181" t="s">
        <v>98</v>
      </c>
      <c r="C87" s="181"/>
      <c r="D87" s="181"/>
      <c r="E87" s="181"/>
      <c r="F87" s="181"/>
      <c r="G87" s="72"/>
      <c r="H87" s="66"/>
      <c r="I87" s="181" t="s">
        <v>98</v>
      </c>
      <c r="J87" s="181"/>
      <c r="K87" s="181"/>
      <c r="L87" s="181"/>
      <c r="M87" s="181"/>
    </row>
    <row r="88" spans="2:16" ht="18" customHeight="1" x14ac:dyDescent="0.4">
      <c r="B88" s="181" t="s">
        <v>228</v>
      </c>
      <c r="C88" s="181"/>
      <c r="D88" s="181"/>
      <c r="E88" s="181"/>
      <c r="F88" s="181"/>
      <c r="G88" s="66"/>
      <c r="H88" s="66"/>
      <c r="I88" s="181" t="s">
        <v>228</v>
      </c>
      <c r="J88" s="181"/>
      <c r="K88" s="181"/>
      <c r="L88" s="181"/>
      <c r="M88" s="181"/>
    </row>
    <row r="89" spans="2:16" ht="18" customHeight="1" x14ac:dyDescent="0.4">
      <c r="B89" s="174" t="s">
        <v>100</v>
      </c>
      <c r="C89" s="175"/>
      <c r="D89" s="175"/>
      <c r="E89" s="175"/>
      <c r="F89" s="176"/>
      <c r="G89" s="66"/>
      <c r="H89" s="66"/>
      <c r="I89" s="174" t="s">
        <v>100</v>
      </c>
      <c r="J89" s="175"/>
      <c r="K89" s="175"/>
      <c r="L89" s="175"/>
      <c r="M89" s="176"/>
    </row>
    <row r="90" spans="2:16" ht="18" customHeight="1" x14ac:dyDescent="0.4">
      <c r="B90" s="177" t="s">
        <v>101</v>
      </c>
      <c r="C90" s="178"/>
      <c r="D90" s="178"/>
      <c r="E90" s="178"/>
      <c r="F90" s="179"/>
      <c r="G90" s="66"/>
      <c r="H90" s="66"/>
      <c r="I90" s="177" t="s">
        <v>101</v>
      </c>
      <c r="J90" s="178"/>
      <c r="K90" s="178"/>
      <c r="L90" s="178"/>
      <c r="M90" s="179"/>
    </row>
    <row r="91" spans="2:16" ht="24.75" customHeight="1" x14ac:dyDescent="0.4">
      <c r="B91" s="166" t="s">
        <v>248</v>
      </c>
      <c r="C91" s="167"/>
      <c r="D91" s="167"/>
      <c r="E91" s="167"/>
      <c r="F91" s="78">
        <v>1621</v>
      </c>
      <c r="G91" s="66"/>
      <c r="H91" s="66"/>
      <c r="I91" s="166" t="s">
        <v>248</v>
      </c>
      <c r="J91" s="167"/>
      <c r="K91" s="167"/>
      <c r="L91" s="167"/>
      <c r="M91" s="78">
        <v>1621</v>
      </c>
      <c r="N91" s="39"/>
    </row>
    <row r="92" spans="2:16" ht="22.5" customHeight="1" x14ac:dyDescent="0.3">
      <c r="B92" s="184" t="s">
        <v>275</v>
      </c>
      <c r="C92" s="185"/>
      <c r="D92" s="185"/>
      <c r="E92" s="185"/>
      <c r="F92" s="78">
        <v>300</v>
      </c>
      <c r="G92" s="66"/>
      <c r="H92" s="66"/>
      <c r="I92" s="184" t="s">
        <v>275</v>
      </c>
      <c r="J92" s="185"/>
      <c r="K92" s="185"/>
      <c r="L92" s="185"/>
      <c r="M92" s="78">
        <v>300</v>
      </c>
      <c r="N92" s="34"/>
    </row>
    <row r="93" spans="2:16" ht="27" customHeight="1" x14ac:dyDescent="0.4">
      <c r="B93" s="184" t="s">
        <v>106</v>
      </c>
      <c r="C93" s="185"/>
      <c r="D93" s="185"/>
      <c r="E93" s="185"/>
      <c r="F93" s="68">
        <v>62.09</v>
      </c>
      <c r="G93" s="66"/>
      <c r="H93" s="66"/>
      <c r="I93" s="184" t="s">
        <v>106</v>
      </c>
      <c r="J93" s="185"/>
      <c r="K93" s="185"/>
      <c r="L93" s="185"/>
      <c r="M93" s="68">
        <v>62.09</v>
      </c>
      <c r="N93" s="35"/>
    </row>
    <row r="94" spans="2:16" ht="17.100000000000001" customHeight="1" x14ac:dyDescent="0.4">
      <c r="B94" s="172" t="s">
        <v>107</v>
      </c>
      <c r="C94" s="173"/>
      <c r="D94" s="173"/>
      <c r="E94" s="173"/>
      <c r="F94" s="69"/>
      <c r="G94" s="80"/>
      <c r="H94" s="66"/>
      <c r="I94" s="172" t="s">
        <v>107</v>
      </c>
      <c r="J94" s="173"/>
      <c r="K94" s="173"/>
      <c r="L94" s="173"/>
      <c r="M94" s="69"/>
      <c r="N94" s="40"/>
    </row>
    <row r="95" spans="2:16" ht="47.25" customHeight="1" x14ac:dyDescent="0.3">
      <c r="B95" s="166" t="s">
        <v>225</v>
      </c>
      <c r="C95" s="167"/>
      <c r="D95" s="167"/>
      <c r="E95" s="167"/>
      <c r="F95" s="68">
        <v>500</v>
      </c>
      <c r="G95" s="74"/>
      <c r="H95" s="66"/>
      <c r="I95" s="166" t="s">
        <v>225</v>
      </c>
      <c r="J95" s="167"/>
      <c r="K95" s="167"/>
      <c r="L95" s="167"/>
      <c r="M95" s="68">
        <v>500</v>
      </c>
      <c r="N95" s="40"/>
    </row>
    <row r="96" spans="2:16" ht="17.100000000000001" customHeight="1" x14ac:dyDescent="0.4">
      <c r="B96" s="166" t="s">
        <v>109</v>
      </c>
      <c r="C96" s="167"/>
      <c r="D96" s="167"/>
      <c r="E96" s="167"/>
      <c r="F96" s="68">
        <v>127.05</v>
      </c>
      <c r="G96" s="75"/>
      <c r="H96" s="66"/>
      <c r="I96" s="166" t="s">
        <v>109</v>
      </c>
      <c r="J96" s="167"/>
      <c r="K96" s="167"/>
      <c r="L96" s="167"/>
      <c r="M96" s="68">
        <v>127.05</v>
      </c>
      <c r="N96" s="40"/>
    </row>
    <row r="97" spans="2:14" ht="29.25" customHeight="1" x14ac:dyDescent="0.4">
      <c r="B97" s="166" t="s">
        <v>267</v>
      </c>
      <c r="C97" s="167"/>
      <c r="D97" s="167"/>
      <c r="E97" s="167"/>
      <c r="F97" s="68">
        <v>1.18</v>
      </c>
      <c r="G97" s="81"/>
      <c r="H97" s="66"/>
      <c r="I97" s="166" t="s">
        <v>267</v>
      </c>
      <c r="J97" s="167"/>
      <c r="K97" s="167"/>
      <c r="L97" s="167"/>
      <c r="M97" s="68">
        <v>1.18</v>
      </c>
      <c r="N97" s="40"/>
    </row>
    <row r="98" spans="2:14" ht="31.5" customHeight="1" x14ac:dyDescent="0.4">
      <c r="B98" s="182" t="s">
        <v>112</v>
      </c>
      <c r="C98" s="183"/>
      <c r="D98" s="183"/>
      <c r="E98" s="183"/>
      <c r="F98" s="70">
        <f>SUM(F91:F93)-SUM(F95:F97)</f>
        <v>1354.8600000000001</v>
      </c>
      <c r="G98" s="81"/>
      <c r="H98" s="66"/>
      <c r="I98" s="182" t="s">
        <v>112</v>
      </c>
      <c r="J98" s="183"/>
      <c r="K98" s="183"/>
      <c r="L98" s="183"/>
      <c r="M98" s="70">
        <f>SUM(M91:M93)-SUM(M95:M97)</f>
        <v>1354.8600000000001</v>
      </c>
      <c r="N98" s="40"/>
    </row>
    <row r="99" spans="2:14" ht="35.25" customHeight="1" x14ac:dyDescent="0.4">
      <c r="B99" s="170" t="s">
        <v>268</v>
      </c>
      <c r="C99" s="170"/>
      <c r="D99" s="170"/>
      <c r="E99" s="170"/>
      <c r="F99" s="170"/>
      <c r="G99" s="40"/>
      <c r="I99" s="170" t="s">
        <v>268</v>
      </c>
      <c r="J99" s="170"/>
      <c r="K99" s="170"/>
      <c r="L99" s="170"/>
      <c r="M99" s="170"/>
      <c r="N99" s="40"/>
    </row>
    <row r="100" spans="2:14" ht="17.100000000000001" customHeight="1" x14ac:dyDescent="0.4">
      <c r="B100" s="163" t="s">
        <v>114</v>
      </c>
      <c r="C100" s="163"/>
      <c r="D100" s="163"/>
      <c r="E100" s="163"/>
      <c r="F100" s="163"/>
      <c r="G100" s="40"/>
      <c r="I100" s="163" t="s">
        <v>114</v>
      </c>
      <c r="J100" s="163"/>
      <c r="K100" s="163"/>
      <c r="L100" s="163"/>
      <c r="M100" s="163"/>
      <c r="N100" s="40"/>
    </row>
    <row r="101" spans="2:14" ht="17.100000000000001" customHeight="1" x14ac:dyDescent="0.4">
      <c r="B101" s="163"/>
      <c r="C101" s="163"/>
      <c r="D101" s="163"/>
      <c r="E101" s="163"/>
      <c r="F101" s="163"/>
      <c r="G101" s="40"/>
      <c r="I101" s="163"/>
      <c r="J101" s="163"/>
      <c r="K101" s="163"/>
      <c r="L101" s="163"/>
      <c r="M101" s="163"/>
      <c r="N101" s="40"/>
    </row>
    <row r="102" spans="2:14" ht="17.100000000000001" customHeight="1" x14ac:dyDescent="0.4">
      <c r="B102" s="164" t="s">
        <v>231</v>
      </c>
      <c r="C102" s="164"/>
      <c r="D102" s="164"/>
      <c r="E102" s="164"/>
      <c r="F102" s="164"/>
      <c r="G102" s="40"/>
      <c r="I102" s="164" t="s">
        <v>231</v>
      </c>
      <c r="J102" s="164"/>
      <c r="K102" s="164"/>
      <c r="L102" s="164"/>
      <c r="M102" s="164"/>
      <c r="N102" s="40"/>
    </row>
    <row r="103" spans="2:14" ht="17.100000000000001" customHeight="1" x14ac:dyDescent="0.4">
      <c r="B103" s="44"/>
      <c r="C103" s="44"/>
      <c r="D103" s="44"/>
      <c r="E103" s="44"/>
      <c r="F103" s="44"/>
      <c r="G103" s="40"/>
      <c r="I103" s="44"/>
      <c r="J103" s="44"/>
      <c r="K103" s="44"/>
      <c r="L103" s="44"/>
      <c r="M103" s="44"/>
      <c r="N103" s="40"/>
    </row>
    <row r="104" spans="2:14" ht="43.5" customHeight="1" x14ac:dyDescent="0.4">
      <c r="B104" s="44"/>
      <c r="C104" s="44"/>
      <c r="D104" s="44"/>
      <c r="E104" s="44"/>
      <c r="F104" s="44"/>
      <c r="G104" s="40"/>
      <c r="I104" s="44"/>
      <c r="J104" s="44"/>
      <c r="K104" s="44"/>
      <c r="L104" s="44"/>
      <c r="M104" s="44"/>
    </row>
    <row r="105" spans="2:14" ht="21" customHeight="1" x14ac:dyDescent="0.4">
      <c r="B105" s="44"/>
      <c r="C105" s="44"/>
      <c r="D105" s="44"/>
      <c r="E105" s="44"/>
      <c r="F105" s="44"/>
      <c r="G105" s="40"/>
      <c r="I105" s="44"/>
      <c r="J105" s="44"/>
      <c r="K105" s="44"/>
      <c r="L105" s="44"/>
      <c r="M105" s="44"/>
      <c r="N105" s="24"/>
    </row>
    <row r="106" spans="2:14" ht="18.75" customHeight="1" x14ac:dyDescent="0.4">
      <c r="B106" s="44"/>
      <c r="C106" s="44"/>
      <c r="D106" s="44"/>
      <c r="E106" s="44"/>
      <c r="F106" s="44"/>
      <c r="G106" s="40"/>
      <c r="I106" s="44"/>
      <c r="J106" s="44"/>
      <c r="K106" s="44"/>
      <c r="L106" s="44"/>
      <c r="M106" s="44"/>
      <c r="N106" s="24"/>
    </row>
    <row r="107" spans="2:14" ht="21" hidden="1" customHeight="1" x14ac:dyDescent="0.4">
      <c r="B107" s="44"/>
      <c r="C107" s="44"/>
      <c r="D107" s="44"/>
      <c r="E107" s="44"/>
      <c r="F107" s="44"/>
      <c r="I107" s="44"/>
      <c r="J107" s="44"/>
      <c r="K107" s="44"/>
      <c r="L107" s="44"/>
      <c r="M107" s="44"/>
      <c r="N107" s="24"/>
    </row>
    <row r="108" spans="2:14" ht="28.5" customHeight="1" x14ac:dyDescent="0.4">
      <c r="B108" s="44"/>
      <c r="C108" s="44"/>
      <c r="D108" s="44"/>
      <c r="E108" s="44"/>
      <c r="F108" s="44"/>
      <c r="G108" s="67"/>
      <c r="H108" s="66"/>
      <c r="I108" s="180"/>
      <c r="J108" s="180"/>
      <c r="K108" s="180"/>
      <c r="L108" s="180"/>
      <c r="M108" s="180"/>
      <c r="N108" s="32"/>
    </row>
    <row r="109" spans="2:14" ht="18" customHeight="1" x14ac:dyDescent="0.4">
      <c r="B109" s="44"/>
      <c r="C109" s="44"/>
      <c r="D109" s="44"/>
      <c r="E109" s="44"/>
      <c r="F109" s="44"/>
      <c r="G109" s="67"/>
      <c r="H109" s="66"/>
      <c r="I109" s="181"/>
      <c r="J109" s="181"/>
      <c r="K109" s="181"/>
      <c r="L109" s="181"/>
      <c r="M109" s="181"/>
      <c r="N109" s="32"/>
    </row>
    <row r="110" spans="2:14" ht="54" customHeight="1" thickBot="1" x14ac:dyDescent="0.45">
      <c r="B110" s="44"/>
      <c r="C110" s="44"/>
      <c r="D110" s="44"/>
      <c r="E110" s="44"/>
      <c r="F110" s="44"/>
      <c r="G110" s="67"/>
      <c r="H110" s="66"/>
      <c r="I110" s="193" t="s">
        <v>96</v>
      </c>
      <c r="J110" s="193"/>
      <c r="K110" s="193"/>
      <c r="L110" s="193"/>
      <c r="M110" s="193"/>
    </row>
    <row r="111" spans="2:14" ht="18" customHeight="1" thickTop="1" thickBot="1" x14ac:dyDescent="0.45">
      <c r="B111" s="193" t="s">
        <v>96</v>
      </c>
      <c r="C111" s="193"/>
      <c r="D111" s="193"/>
      <c r="E111" s="193"/>
      <c r="F111" s="193"/>
      <c r="G111" s="72"/>
      <c r="H111" s="66"/>
      <c r="I111" s="180"/>
      <c r="J111" s="180"/>
      <c r="K111" s="180"/>
      <c r="L111" s="180"/>
      <c r="M111" s="180"/>
    </row>
    <row r="112" spans="2:14" ht="18" customHeight="1" thickTop="1" x14ac:dyDescent="0.4">
      <c r="B112" s="180"/>
      <c r="C112" s="180"/>
      <c r="D112" s="180"/>
      <c r="E112" s="180"/>
      <c r="F112" s="180"/>
      <c r="G112" s="72"/>
      <c r="H112" s="66"/>
      <c r="I112" s="181" t="s">
        <v>97</v>
      </c>
      <c r="J112" s="181"/>
      <c r="K112" s="181"/>
      <c r="L112" s="181"/>
      <c r="M112" s="181"/>
    </row>
    <row r="113" spans="2:14" ht="18" customHeight="1" x14ac:dyDescent="0.4">
      <c r="B113" s="181" t="s">
        <v>97</v>
      </c>
      <c r="C113" s="181"/>
      <c r="D113" s="181"/>
      <c r="E113" s="181"/>
      <c r="F113" s="181"/>
      <c r="G113" s="66"/>
      <c r="H113" s="66"/>
      <c r="I113" s="181" t="s">
        <v>98</v>
      </c>
      <c r="J113" s="181"/>
      <c r="K113" s="181"/>
      <c r="L113" s="181"/>
      <c r="M113" s="181"/>
    </row>
    <row r="114" spans="2:14" ht="18" customHeight="1" x14ac:dyDescent="0.4">
      <c r="B114" s="181" t="s">
        <v>98</v>
      </c>
      <c r="C114" s="181"/>
      <c r="D114" s="181"/>
      <c r="E114" s="181"/>
      <c r="F114" s="181"/>
      <c r="G114" s="66"/>
      <c r="H114" s="66"/>
      <c r="I114" s="181" t="s">
        <v>232</v>
      </c>
      <c r="J114" s="181"/>
      <c r="K114" s="181"/>
      <c r="L114" s="181"/>
      <c r="M114" s="181"/>
    </row>
    <row r="115" spans="2:14" ht="18" customHeight="1" x14ac:dyDescent="0.4">
      <c r="B115" s="181" t="s">
        <v>232</v>
      </c>
      <c r="C115" s="181"/>
      <c r="D115" s="181"/>
      <c r="E115" s="181"/>
      <c r="F115" s="181"/>
      <c r="G115" s="66"/>
      <c r="H115" s="66"/>
      <c r="I115" s="174" t="s">
        <v>100</v>
      </c>
      <c r="J115" s="175"/>
      <c r="K115" s="175"/>
      <c r="L115" s="175"/>
      <c r="M115" s="176"/>
    </row>
    <row r="116" spans="2:14" ht="18" customHeight="1" x14ac:dyDescent="0.4">
      <c r="B116" s="174" t="s">
        <v>100</v>
      </c>
      <c r="C116" s="175"/>
      <c r="D116" s="175"/>
      <c r="E116" s="175"/>
      <c r="F116" s="176"/>
      <c r="G116" s="66"/>
      <c r="H116" s="66"/>
      <c r="I116" s="177" t="s">
        <v>101</v>
      </c>
      <c r="J116" s="178"/>
      <c r="K116" s="178"/>
      <c r="L116" s="178"/>
      <c r="M116" s="179"/>
    </row>
    <row r="117" spans="2:14" ht="18" customHeight="1" x14ac:dyDescent="0.4">
      <c r="B117" s="177" t="s">
        <v>101</v>
      </c>
      <c r="C117" s="178"/>
      <c r="D117" s="178"/>
      <c r="E117" s="178"/>
      <c r="F117" s="179"/>
      <c r="G117" s="66"/>
      <c r="H117" s="66"/>
      <c r="I117" s="166" t="s">
        <v>265</v>
      </c>
      <c r="J117" s="167"/>
      <c r="K117" s="167"/>
      <c r="L117" s="167"/>
      <c r="M117" s="68">
        <v>4000</v>
      </c>
    </row>
    <row r="118" spans="2:14" ht="18" customHeight="1" x14ac:dyDescent="0.4">
      <c r="B118" s="166" t="s">
        <v>265</v>
      </c>
      <c r="C118" s="167"/>
      <c r="D118" s="167"/>
      <c r="E118" s="167"/>
      <c r="F118" s="68">
        <v>4000</v>
      </c>
      <c r="G118" s="66"/>
      <c r="H118" s="66"/>
      <c r="I118" s="166" t="s">
        <v>146</v>
      </c>
      <c r="J118" s="167"/>
      <c r="K118" s="167"/>
      <c r="L118" s="167"/>
      <c r="M118" s="68">
        <v>839.33</v>
      </c>
    </row>
    <row r="119" spans="2:14" ht="18" customHeight="1" x14ac:dyDescent="0.4">
      <c r="B119" s="166" t="s">
        <v>146</v>
      </c>
      <c r="C119" s="167"/>
      <c r="D119" s="167"/>
      <c r="E119" s="167"/>
      <c r="F119" s="68">
        <v>839.33</v>
      </c>
      <c r="G119" s="66"/>
      <c r="H119" s="66"/>
      <c r="I119" s="166" t="s">
        <v>229</v>
      </c>
      <c r="J119" s="167"/>
      <c r="K119" s="167"/>
      <c r="L119" s="167"/>
      <c r="M119" s="68"/>
    </row>
    <row r="120" spans="2:14" ht="18" customHeight="1" x14ac:dyDescent="0.4">
      <c r="B120" s="166" t="s">
        <v>229</v>
      </c>
      <c r="C120" s="167"/>
      <c r="D120" s="167"/>
      <c r="E120" s="167"/>
      <c r="F120" s="68"/>
      <c r="G120" s="66"/>
      <c r="H120" s="66"/>
      <c r="I120" s="166"/>
      <c r="J120" s="167"/>
      <c r="K120" s="167"/>
      <c r="L120" s="167"/>
      <c r="M120" s="68"/>
    </row>
    <row r="121" spans="2:14" ht="18" customHeight="1" x14ac:dyDescent="0.4">
      <c r="B121" s="166"/>
      <c r="C121" s="167"/>
      <c r="D121" s="167"/>
      <c r="E121" s="167"/>
      <c r="F121" s="68"/>
      <c r="G121" s="66"/>
      <c r="H121" s="66"/>
      <c r="I121" s="166" t="s">
        <v>269</v>
      </c>
      <c r="J121" s="167"/>
      <c r="K121" s="167"/>
      <c r="L121" s="167"/>
      <c r="M121" s="68">
        <v>340.81</v>
      </c>
    </row>
    <row r="122" spans="2:14" ht="20.25" customHeight="1" x14ac:dyDescent="0.4">
      <c r="B122" s="166" t="s">
        <v>269</v>
      </c>
      <c r="C122" s="167"/>
      <c r="D122" s="167"/>
      <c r="E122" s="167"/>
      <c r="F122" s="68">
        <v>340.81</v>
      </c>
      <c r="G122" s="66"/>
      <c r="H122" s="66"/>
      <c r="I122" s="172" t="s">
        <v>107</v>
      </c>
      <c r="J122" s="173"/>
      <c r="K122" s="173"/>
      <c r="L122" s="173"/>
      <c r="M122" s="69"/>
      <c r="N122" s="39"/>
    </row>
    <row r="123" spans="2:14" ht="19.5" customHeight="1" x14ac:dyDescent="0.3">
      <c r="B123" s="172" t="s">
        <v>107</v>
      </c>
      <c r="C123" s="173"/>
      <c r="D123" s="173"/>
      <c r="E123" s="173"/>
      <c r="F123" s="69"/>
      <c r="G123" s="66"/>
      <c r="H123" s="66"/>
      <c r="I123" s="166" t="s">
        <v>179</v>
      </c>
      <c r="J123" s="167"/>
      <c r="K123" s="167"/>
      <c r="L123" s="167"/>
      <c r="M123" s="68">
        <v>240.65</v>
      </c>
      <c r="N123" s="34"/>
    </row>
    <row r="124" spans="2:14" ht="18" customHeight="1" x14ac:dyDescent="0.4">
      <c r="B124" s="166" t="s">
        <v>179</v>
      </c>
      <c r="C124" s="167"/>
      <c r="D124" s="167"/>
      <c r="E124" s="167"/>
      <c r="F124" s="68">
        <v>240.65</v>
      </c>
      <c r="G124" s="66"/>
      <c r="H124" s="66"/>
      <c r="I124" s="166" t="s">
        <v>270</v>
      </c>
      <c r="J124" s="167"/>
      <c r="K124" s="167"/>
      <c r="L124" s="167"/>
      <c r="M124" s="68">
        <v>383.33</v>
      </c>
      <c r="N124" s="35"/>
    </row>
    <row r="125" spans="2:14" ht="17.100000000000001" customHeight="1" x14ac:dyDescent="0.4">
      <c r="B125" s="166" t="s">
        <v>270</v>
      </c>
      <c r="C125" s="167"/>
      <c r="D125" s="167"/>
      <c r="E125" s="167"/>
      <c r="F125" s="68">
        <v>383.33</v>
      </c>
      <c r="G125" s="80"/>
      <c r="H125" s="66"/>
      <c r="I125" s="166" t="s">
        <v>235</v>
      </c>
      <c r="J125" s="167"/>
      <c r="K125" s="167"/>
      <c r="L125" s="167"/>
      <c r="M125" s="68">
        <v>250</v>
      </c>
      <c r="N125" s="40"/>
    </row>
    <row r="126" spans="2:14" ht="38.25" customHeight="1" x14ac:dyDescent="0.3">
      <c r="B126" s="166" t="s">
        <v>235</v>
      </c>
      <c r="C126" s="167"/>
      <c r="D126" s="167"/>
      <c r="E126" s="167"/>
      <c r="F126" s="68">
        <v>250</v>
      </c>
      <c r="G126" s="74"/>
      <c r="H126" s="66"/>
      <c r="I126" s="166" t="s">
        <v>271</v>
      </c>
      <c r="J126" s="167"/>
      <c r="K126" s="167"/>
      <c r="L126" s="167"/>
      <c r="M126" s="68">
        <v>125.89</v>
      </c>
      <c r="N126" s="40"/>
    </row>
    <row r="127" spans="2:14" ht="12.75" customHeight="1" x14ac:dyDescent="0.4">
      <c r="B127" s="166" t="s">
        <v>271</v>
      </c>
      <c r="C127" s="167"/>
      <c r="D127" s="167"/>
      <c r="E127" s="167"/>
      <c r="F127" s="68">
        <v>125.89</v>
      </c>
      <c r="G127" s="75"/>
      <c r="H127" s="66"/>
      <c r="I127" s="166" t="s">
        <v>237</v>
      </c>
      <c r="J127" s="167"/>
      <c r="K127" s="167"/>
      <c r="L127" s="167"/>
      <c r="M127" s="68">
        <v>2000</v>
      </c>
      <c r="N127" s="40"/>
    </row>
    <row r="128" spans="2:14" ht="36" customHeight="1" x14ac:dyDescent="0.4">
      <c r="B128" s="166" t="s">
        <v>237</v>
      </c>
      <c r="C128" s="167"/>
      <c r="D128" s="167"/>
      <c r="E128" s="167"/>
      <c r="F128" s="68">
        <v>2000</v>
      </c>
      <c r="G128" s="81"/>
      <c r="H128" s="66"/>
      <c r="I128" s="168" t="s">
        <v>112</v>
      </c>
      <c r="J128" s="169"/>
      <c r="K128" s="169"/>
      <c r="L128" s="169"/>
      <c r="M128" s="70">
        <f>SUM(M117:M121)-SUM(M123:M127)</f>
        <v>2180.2700000000004</v>
      </c>
      <c r="N128" s="40"/>
    </row>
    <row r="129" spans="2:14" ht="33.75" customHeight="1" x14ac:dyDescent="0.4">
      <c r="B129" s="168" t="s">
        <v>112</v>
      </c>
      <c r="C129" s="169"/>
      <c r="D129" s="169"/>
      <c r="E129" s="169"/>
      <c r="F129" s="70">
        <f>SUM(F118:F122)-SUM(F124:F128)</f>
        <v>2180.2700000000004</v>
      </c>
      <c r="G129" s="81"/>
      <c r="H129" s="66"/>
      <c r="I129" s="170" t="s">
        <v>272</v>
      </c>
      <c r="J129" s="170"/>
      <c r="K129" s="170"/>
      <c r="L129" s="170"/>
      <c r="M129" s="170"/>
      <c r="N129" s="40"/>
    </row>
    <row r="130" spans="2:14" ht="17.100000000000001" customHeight="1" x14ac:dyDescent="0.4">
      <c r="B130" s="170" t="s">
        <v>272</v>
      </c>
      <c r="C130" s="170"/>
      <c r="D130" s="170"/>
      <c r="E130" s="170"/>
      <c r="F130" s="170"/>
      <c r="G130" s="40"/>
      <c r="I130" s="163" t="s">
        <v>114</v>
      </c>
      <c r="J130" s="163"/>
      <c r="K130" s="163"/>
      <c r="L130" s="163"/>
      <c r="M130" s="163"/>
      <c r="N130" s="40"/>
    </row>
    <row r="131" spans="2:14" ht="17.100000000000001" customHeight="1" x14ac:dyDescent="0.4">
      <c r="B131" s="163" t="s">
        <v>114</v>
      </c>
      <c r="C131" s="163"/>
      <c r="D131" s="163"/>
      <c r="E131" s="163"/>
      <c r="F131" s="163"/>
      <c r="G131" s="40"/>
      <c r="I131" s="163"/>
      <c r="J131" s="163"/>
      <c r="K131" s="163"/>
      <c r="L131" s="163"/>
      <c r="M131" s="163"/>
      <c r="N131" s="40"/>
    </row>
    <row r="132" spans="2:14" ht="17.100000000000001" customHeight="1" x14ac:dyDescent="0.4">
      <c r="B132" s="163"/>
      <c r="C132" s="163"/>
      <c r="D132" s="163"/>
      <c r="E132" s="163"/>
      <c r="F132" s="163"/>
      <c r="G132" s="40"/>
      <c r="I132" s="164" t="s">
        <v>239</v>
      </c>
      <c r="J132" s="164"/>
      <c r="K132" s="164"/>
      <c r="L132" s="164"/>
      <c r="M132" s="164"/>
      <c r="N132" s="40"/>
    </row>
    <row r="133" spans="2:14" ht="17.100000000000001" customHeight="1" x14ac:dyDescent="0.4">
      <c r="B133" s="164" t="s">
        <v>239</v>
      </c>
      <c r="C133" s="164"/>
      <c r="D133" s="164"/>
      <c r="E133" s="164"/>
      <c r="F133" s="164"/>
      <c r="G133" s="40"/>
      <c r="I133" s="40"/>
      <c r="J133" s="37"/>
      <c r="K133" s="37"/>
      <c r="L133" s="37"/>
      <c r="M133" s="37"/>
      <c r="N133" s="40"/>
    </row>
    <row r="134" spans="2:14" ht="47.25" customHeight="1" x14ac:dyDescent="0.4">
      <c r="B134" s="40"/>
      <c r="C134" s="37"/>
      <c r="D134" s="37"/>
      <c r="E134" s="37"/>
      <c r="F134" s="37"/>
      <c r="G134" s="40"/>
      <c r="I134" s="40"/>
      <c r="J134" s="37"/>
      <c r="K134" s="37"/>
      <c r="L134" s="37"/>
      <c r="M134" s="37"/>
    </row>
    <row r="135" spans="2:14" ht="21" customHeight="1" x14ac:dyDescent="0.4">
      <c r="B135" s="40"/>
      <c r="C135" s="37"/>
      <c r="D135" s="37"/>
      <c r="E135" s="37"/>
      <c r="F135" s="37"/>
      <c r="G135" s="40"/>
      <c r="I135" s="40"/>
      <c r="J135" s="37"/>
      <c r="K135" s="37"/>
      <c r="L135" s="37"/>
      <c r="M135" s="37"/>
      <c r="N135" s="24"/>
    </row>
    <row r="136" spans="2:14" ht="21" customHeight="1" x14ac:dyDescent="0.4">
      <c r="B136" s="40"/>
      <c r="C136" s="37"/>
      <c r="D136" s="37"/>
      <c r="E136" s="37"/>
      <c r="F136" s="37"/>
      <c r="G136" s="40"/>
      <c r="I136" s="40"/>
      <c r="J136" s="37"/>
      <c r="K136" s="37"/>
      <c r="L136" s="37"/>
      <c r="M136" s="37"/>
      <c r="N136" s="24"/>
    </row>
    <row r="137" spans="2:14" ht="21" customHeight="1" x14ac:dyDescent="0.4">
      <c r="B137" s="40"/>
      <c r="C137" s="37"/>
      <c r="D137" s="37"/>
      <c r="E137" s="37"/>
      <c r="F137" s="37"/>
      <c r="I137" s="40"/>
      <c r="J137" s="37"/>
      <c r="K137" s="37"/>
      <c r="L137" s="37"/>
      <c r="M137" s="37"/>
      <c r="N137" s="24"/>
    </row>
    <row r="138" spans="2:14" ht="18" customHeight="1" x14ac:dyDescent="0.4">
      <c r="B138" s="40"/>
      <c r="C138" s="37"/>
      <c r="D138" s="37"/>
      <c r="E138" s="37"/>
      <c r="F138" s="37"/>
      <c r="G138" s="24"/>
      <c r="I138" s="102"/>
      <c r="J138" s="102"/>
      <c r="K138" s="102"/>
      <c r="L138" s="102"/>
      <c r="M138" s="102"/>
      <c r="N138" s="32"/>
    </row>
    <row r="139" spans="2:14" ht="18" customHeight="1" x14ac:dyDescent="0.4">
      <c r="B139" s="40"/>
      <c r="C139" s="37"/>
      <c r="D139" s="37"/>
      <c r="E139" s="37"/>
      <c r="F139" s="37"/>
      <c r="G139" s="24"/>
      <c r="I139" s="110"/>
      <c r="J139" s="110"/>
      <c r="K139" s="110"/>
      <c r="L139" s="110"/>
      <c r="M139" s="110"/>
      <c r="N139" s="32"/>
    </row>
    <row r="140" spans="2:14" ht="18" customHeight="1" x14ac:dyDescent="0.4">
      <c r="B140" s="40"/>
      <c r="C140" s="37"/>
      <c r="D140" s="37"/>
      <c r="E140" s="37"/>
      <c r="F140" s="37"/>
      <c r="G140" s="24"/>
      <c r="I140" s="110"/>
      <c r="J140" s="110"/>
      <c r="K140" s="110"/>
      <c r="L140" s="110"/>
      <c r="M140" s="110"/>
    </row>
    <row r="141" spans="2:14" ht="18" customHeight="1" x14ac:dyDescent="0.4">
      <c r="B141" s="40"/>
      <c r="C141" s="37"/>
      <c r="D141" s="37"/>
      <c r="E141" s="37"/>
      <c r="F141" s="37"/>
      <c r="G141" s="32"/>
      <c r="I141" s="110"/>
      <c r="J141" s="110"/>
      <c r="K141" s="110"/>
      <c r="L141" s="110"/>
      <c r="M141" s="110"/>
    </row>
    <row r="142" spans="2:14" ht="61.5" x14ac:dyDescent="0.4">
      <c r="B142" s="102"/>
      <c r="C142" s="102"/>
      <c r="D142" s="102"/>
      <c r="E142" s="102"/>
      <c r="F142" s="102"/>
      <c r="G142" s="32"/>
      <c r="I142" s="114"/>
      <c r="J142" s="115"/>
      <c r="K142" s="115"/>
      <c r="L142" s="115"/>
      <c r="M142" s="116"/>
    </row>
    <row r="143" spans="2:14" ht="18" customHeight="1" x14ac:dyDescent="0.4">
      <c r="B143" s="110"/>
      <c r="C143" s="110"/>
      <c r="D143" s="110"/>
      <c r="E143" s="110"/>
      <c r="F143" s="110"/>
      <c r="I143" s="111"/>
      <c r="J143" s="112"/>
      <c r="K143" s="112"/>
      <c r="L143" s="112"/>
      <c r="M143" s="113"/>
    </row>
    <row r="144" spans="2:14" ht="18" customHeight="1" x14ac:dyDescent="0.4">
      <c r="B144" s="110"/>
      <c r="C144" s="110"/>
      <c r="D144" s="110"/>
      <c r="E144" s="110"/>
      <c r="F144" s="110"/>
      <c r="I144" s="97"/>
      <c r="J144" s="98"/>
      <c r="K144" s="98"/>
      <c r="L144" s="98"/>
      <c r="M144" s="26"/>
    </row>
    <row r="145" spans="2:14" ht="18" customHeight="1" x14ac:dyDescent="0.4">
      <c r="B145" s="110"/>
      <c r="C145" s="110"/>
      <c r="D145" s="110"/>
      <c r="E145" s="110"/>
      <c r="F145" s="110"/>
      <c r="I145" s="97"/>
      <c r="J145" s="98"/>
      <c r="K145" s="98"/>
      <c r="L145" s="98"/>
      <c r="M145" s="26"/>
    </row>
    <row r="146" spans="2:14" ht="18" customHeight="1" x14ac:dyDescent="0.25">
      <c r="B146" s="131"/>
      <c r="C146" s="132"/>
      <c r="D146" s="132"/>
      <c r="E146" s="132"/>
      <c r="F146" s="133"/>
      <c r="I146" s="97"/>
      <c r="J146" s="98"/>
      <c r="K146" s="98"/>
      <c r="L146" s="98"/>
      <c r="M146" s="26"/>
    </row>
    <row r="147" spans="2:14" ht="18" customHeight="1" x14ac:dyDescent="0.25">
      <c r="B147" s="134"/>
      <c r="C147" s="135"/>
      <c r="D147" s="135"/>
      <c r="E147" s="135"/>
      <c r="F147" s="136"/>
      <c r="I147" s="99"/>
      <c r="J147" s="100"/>
      <c r="K147" s="100"/>
      <c r="L147" s="100"/>
      <c r="M147" s="29"/>
    </row>
    <row r="148" spans="2:14" ht="18" customHeight="1" x14ac:dyDescent="0.3">
      <c r="B148" s="125"/>
      <c r="C148" s="126"/>
      <c r="D148" s="126"/>
      <c r="E148" s="126"/>
      <c r="F148" s="63"/>
      <c r="I148" s="97"/>
      <c r="J148" s="98"/>
      <c r="K148" s="98"/>
      <c r="L148" s="98"/>
      <c r="M148" s="26"/>
    </row>
    <row r="149" spans="2:14" ht="45" customHeight="1" x14ac:dyDescent="0.3">
      <c r="B149" s="125"/>
      <c r="C149" s="126"/>
      <c r="D149" s="126"/>
      <c r="E149" s="126"/>
      <c r="F149" s="63"/>
      <c r="I149" s="97"/>
      <c r="J149" s="98"/>
      <c r="K149" s="98"/>
      <c r="L149" s="98"/>
      <c r="M149" s="26"/>
      <c r="N149" s="39"/>
    </row>
    <row r="150" spans="2:14" ht="22.5" customHeight="1" x14ac:dyDescent="0.3">
      <c r="B150" s="125"/>
      <c r="C150" s="126"/>
      <c r="D150" s="126"/>
      <c r="E150" s="126"/>
      <c r="F150" s="63"/>
      <c r="I150" s="97"/>
      <c r="J150" s="98"/>
      <c r="K150" s="98"/>
      <c r="L150" s="98"/>
      <c r="M150" s="26"/>
      <c r="N150" s="34"/>
    </row>
    <row r="151" spans="2:14" ht="27" customHeight="1" x14ac:dyDescent="0.25">
      <c r="B151" s="129"/>
      <c r="C151" s="130"/>
      <c r="D151" s="130"/>
      <c r="E151" s="130"/>
      <c r="F151" s="64"/>
      <c r="I151" s="97"/>
      <c r="J151" s="98"/>
      <c r="K151" s="98"/>
      <c r="L151" s="98"/>
      <c r="M151" s="26"/>
      <c r="N151" s="35"/>
    </row>
    <row r="152" spans="2:14" ht="17.100000000000001" customHeight="1" x14ac:dyDescent="0.3">
      <c r="B152" s="125"/>
      <c r="C152" s="126"/>
      <c r="D152" s="126"/>
      <c r="E152" s="126"/>
      <c r="F152" s="63"/>
      <c r="G152" s="38"/>
      <c r="I152" s="104"/>
      <c r="J152" s="105"/>
      <c r="K152" s="105"/>
      <c r="L152" s="105"/>
      <c r="M152" s="30"/>
      <c r="N152" s="40"/>
    </row>
    <row r="153" spans="2:14" x14ac:dyDescent="0.3">
      <c r="B153" s="125"/>
      <c r="C153" s="126"/>
      <c r="D153" s="126"/>
      <c r="E153" s="126"/>
      <c r="F153" s="63"/>
      <c r="G153" s="34"/>
      <c r="I153" s="103"/>
      <c r="J153" s="103"/>
      <c r="K153" s="103"/>
      <c r="L153" s="103"/>
      <c r="M153" s="103"/>
    </row>
    <row r="154" spans="2:14" x14ac:dyDescent="0.3">
      <c r="B154" s="125"/>
      <c r="C154" s="126"/>
      <c r="D154" s="126"/>
      <c r="E154" s="126"/>
      <c r="F154" s="63"/>
      <c r="G154" s="35"/>
      <c r="I154" s="34"/>
      <c r="J154" s="34"/>
      <c r="K154" s="34"/>
      <c r="L154" s="34"/>
      <c r="M154" s="34"/>
    </row>
    <row r="155" spans="2:14" ht="19.5" x14ac:dyDescent="0.3">
      <c r="B155" s="125"/>
      <c r="C155" s="126"/>
      <c r="D155" s="126"/>
      <c r="E155" s="126"/>
      <c r="F155" s="63"/>
      <c r="G155" s="40"/>
      <c r="I155" s="33"/>
      <c r="J155" s="35"/>
      <c r="K155" s="35"/>
      <c r="L155" s="35"/>
      <c r="M155" s="35"/>
    </row>
    <row r="156" spans="2:14" ht="19.5" x14ac:dyDescent="0.2">
      <c r="B156" s="127"/>
      <c r="C156" s="128"/>
      <c r="D156" s="128"/>
      <c r="E156" s="128"/>
      <c r="F156" s="65"/>
      <c r="I156" s="40"/>
      <c r="J156" s="108"/>
      <c r="K156" s="108"/>
      <c r="L156" s="108"/>
      <c r="M156" s="108"/>
    </row>
    <row r="157" spans="2:14" x14ac:dyDescent="0.4">
      <c r="B157" s="103"/>
      <c r="C157" s="103"/>
      <c r="D157" s="103"/>
      <c r="E157" s="103"/>
      <c r="F157" s="103"/>
    </row>
    <row r="158" spans="2:14" x14ac:dyDescent="0.3">
      <c r="B158" s="34"/>
      <c r="C158" s="34"/>
      <c r="D158" s="34"/>
      <c r="E158" s="34"/>
      <c r="F158" s="34"/>
    </row>
    <row r="159" spans="2:14" x14ac:dyDescent="0.4">
      <c r="B159" s="33"/>
      <c r="C159" s="35"/>
      <c r="D159" s="35"/>
      <c r="E159" s="35"/>
      <c r="F159" s="35"/>
    </row>
    <row r="160" spans="2:14" ht="19.5" x14ac:dyDescent="0.4">
      <c r="B160" s="40"/>
      <c r="C160" s="108"/>
      <c r="D160" s="108"/>
      <c r="E160" s="108"/>
      <c r="F160" s="108"/>
    </row>
  </sheetData>
  <mergeCells count="235">
    <mergeCell ref="B4:F4"/>
    <mergeCell ref="I4:M4"/>
    <mergeCell ref="B5:F5"/>
    <mergeCell ref="I5:M5"/>
    <mergeCell ref="B6:F6"/>
    <mergeCell ref="I6:M6"/>
    <mergeCell ref="B1:F1"/>
    <mergeCell ref="I1:M1"/>
    <mergeCell ref="B2:F2"/>
    <mergeCell ref="I2:M2"/>
    <mergeCell ref="B3:F3"/>
    <mergeCell ref="I3:M3"/>
    <mergeCell ref="B10:E10"/>
    <mergeCell ref="I10:L10"/>
    <mergeCell ref="B11:E11"/>
    <mergeCell ref="I11:L11"/>
    <mergeCell ref="B13:E13"/>
    <mergeCell ref="I12:L12"/>
    <mergeCell ref="B12:E12"/>
    <mergeCell ref="B7:E7"/>
    <mergeCell ref="I7:L7"/>
    <mergeCell ref="B8:E8"/>
    <mergeCell ref="I8:L8"/>
    <mergeCell ref="B9:E9"/>
    <mergeCell ref="I9:L9"/>
    <mergeCell ref="I16:L16"/>
    <mergeCell ref="I17:M17"/>
    <mergeCell ref="I18:M18"/>
    <mergeCell ref="B14:E14"/>
    <mergeCell ref="I13:L13"/>
    <mergeCell ref="B15:E15"/>
    <mergeCell ref="I14:L14"/>
    <mergeCell ref="B16:E16"/>
    <mergeCell ref="I15:L15"/>
    <mergeCell ref="B28:F28"/>
    <mergeCell ref="I27:M27"/>
    <mergeCell ref="B29:F29"/>
    <mergeCell ref="I28:M28"/>
    <mergeCell ref="B30:F30"/>
    <mergeCell ref="I29:M29"/>
    <mergeCell ref="B17:F17"/>
    <mergeCell ref="B20:F20"/>
    <mergeCell ref="B18:F18"/>
    <mergeCell ref="B34:E34"/>
    <mergeCell ref="I33:L33"/>
    <mergeCell ref="B35:E35"/>
    <mergeCell ref="I34:L34"/>
    <mergeCell ref="B36:E36"/>
    <mergeCell ref="I35:L35"/>
    <mergeCell ref="B31:F31"/>
    <mergeCell ref="I30:M30"/>
    <mergeCell ref="B32:F32"/>
    <mergeCell ref="I31:M31"/>
    <mergeCell ref="B33:F33"/>
    <mergeCell ref="I32:M32"/>
    <mergeCell ref="B40:E40"/>
    <mergeCell ref="I39:L39"/>
    <mergeCell ref="B41:E41"/>
    <mergeCell ref="I40:L40"/>
    <mergeCell ref="B42:E42"/>
    <mergeCell ref="I41:L41"/>
    <mergeCell ref="B37:E37"/>
    <mergeCell ref="I36:L36"/>
    <mergeCell ref="B38:E38"/>
    <mergeCell ref="I37:L37"/>
    <mergeCell ref="B39:E39"/>
    <mergeCell ref="I38:L38"/>
    <mergeCell ref="B46:F46"/>
    <mergeCell ref="I45:M45"/>
    <mergeCell ref="B47:F47"/>
    <mergeCell ref="I46:M46"/>
    <mergeCell ref="B58:F58"/>
    <mergeCell ref="I57:M57"/>
    <mergeCell ref="B43:E43"/>
    <mergeCell ref="I42:L42"/>
    <mergeCell ref="B44:F44"/>
    <mergeCell ref="I43:M43"/>
    <mergeCell ref="B45:F45"/>
    <mergeCell ref="I44:M44"/>
    <mergeCell ref="B62:F62"/>
    <mergeCell ref="I61:M61"/>
    <mergeCell ref="B63:F63"/>
    <mergeCell ref="I62:M62"/>
    <mergeCell ref="B64:E64"/>
    <mergeCell ref="B59:F59"/>
    <mergeCell ref="I58:M58"/>
    <mergeCell ref="B60:F60"/>
    <mergeCell ref="I59:M59"/>
    <mergeCell ref="B61:F61"/>
    <mergeCell ref="I60:M60"/>
    <mergeCell ref="B68:E68"/>
    <mergeCell ref="I67:L67"/>
    <mergeCell ref="B69:E69"/>
    <mergeCell ref="I68:L68"/>
    <mergeCell ref="B70:E70"/>
    <mergeCell ref="I69:L69"/>
    <mergeCell ref="B65:E65"/>
    <mergeCell ref="I64:L64"/>
    <mergeCell ref="B66:E66"/>
    <mergeCell ref="I65:L65"/>
    <mergeCell ref="B67:E67"/>
    <mergeCell ref="I66:L66"/>
    <mergeCell ref="B74:F74"/>
    <mergeCell ref="B75:F76"/>
    <mergeCell ref="B77:F77"/>
    <mergeCell ref="I75:M76"/>
    <mergeCell ref="I77:M77"/>
    <mergeCell ref="B71:E71"/>
    <mergeCell ref="I70:L70"/>
    <mergeCell ref="B72:E72"/>
    <mergeCell ref="I71:L71"/>
    <mergeCell ref="B73:E73"/>
    <mergeCell ref="I72:L72"/>
    <mergeCell ref="I92:L92"/>
    <mergeCell ref="B88:F88"/>
    <mergeCell ref="I87:M87"/>
    <mergeCell ref="B89:F89"/>
    <mergeCell ref="I88:M88"/>
    <mergeCell ref="B90:F90"/>
    <mergeCell ref="I89:M89"/>
    <mergeCell ref="I83:M83"/>
    <mergeCell ref="B85:F85"/>
    <mergeCell ref="I84:M84"/>
    <mergeCell ref="B86:F86"/>
    <mergeCell ref="I85:M85"/>
    <mergeCell ref="B87:F87"/>
    <mergeCell ref="I86:M86"/>
    <mergeCell ref="B113:F113"/>
    <mergeCell ref="I111:M111"/>
    <mergeCell ref="B114:F114"/>
    <mergeCell ref="I112:M112"/>
    <mergeCell ref="B115:F115"/>
    <mergeCell ref="I113:M113"/>
    <mergeCell ref="B102:F102"/>
    <mergeCell ref="I108:M108"/>
    <mergeCell ref="I109:M109"/>
    <mergeCell ref="B112:F112"/>
    <mergeCell ref="I110:M110"/>
    <mergeCell ref="I102:M102"/>
    <mergeCell ref="B119:E119"/>
    <mergeCell ref="I117:L117"/>
    <mergeCell ref="B120:E120"/>
    <mergeCell ref="I118:L118"/>
    <mergeCell ref="B121:E121"/>
    <mergeCell ref="I119:L119"/>
    <mergeCell ref="B116:F116"/>
    <mergeCell ref="I114:M114"/>
    <mergeCell ref="B117:F117"/>
    <mergeCell ref="I115:M115"/>
    <mergeCell ref="B118:E118"/>
    <mergeCell ref="B125:E125"/>
    <mergeCell ref="I123:L123"/>
    <mergeCell ref="B126:E126"/>
    <mergeCell ref="I124:L124"/>
    <mergeCell ref="B127:E127"/>
    <mergeCell ref="I125:L125"/>
    <mergeCell ref="B122:E122"/>
    <mergeCell ref="I120:L120"/>
    <mergeCell ref="B123:E123"/>
    <mergeCell ref="I121:L121"/>
    <mergeCell ref="B124:E124"/>
    <mergeCell ref="I122:L122"/>
    <mergeCell ref="B131:F132"/>
    <mergeCell ref="B133:F133"/>
    <mergeCell ref="I138:M138"/>
    <mergeCell ref="I139:M139"/>
    <mergeCell ref="I129:M129"/>
    <mergeCell ref="I130:M131"/>
    <mergeCell ref="I132:M132"/>
    <mergeCell ref="B128:E128"/>
    <mergeCell ref="I126:L126"/>
    <mergeCell ref="B129:E129"/>
    <mergeCell ref="I127:L127"/>
    <mergeCell ref="B130:F130"/>
    <mergeCell ref="I148:L148"/>
    <mergeCell ref="B145:F145"/>
    <mergeCell ref="I143:M143"/>
    <mergeCell ref="B146:F146"/>
    <mergeCell ref="I144:L144"/>
    <mergeCell ref="B147:F147"/>
    <mergeCell ref="I145:L145"/>
    <mergeCell ref="B142:F142"/>
    <mergeCell ref="I140:M140"/>
    <mergeCell ref="B143:F143"/>
    <mergeCell ref="I141:M141"/>
    <mergeCell ref="B144:F144"/>
    <mergeCell ref="I142:M142"/>
    <mergeCell ref="J156:M156"/>
    <mergeCell ref="C160:F160"/>
    <mergeCell ref="B95:E95"/>
    <mergeCell ref="I97:L97"/>
    <mergeCell ref="B111:F111"/>
    <mergeCell ref="I116:M116"/>
    <mergeCell ref="I128:L128"/>
    <mergeCell ref="B154:E154"/>
    <mergeCell ref="I152:L152"/>
    <mergeCell ref="B155:E155"/>
    <mergeCell ref="I153:M153"/>
    <mergeCell ref="B156:E156"/>
    <mergeCell ref="B157:F157"/>
    <mergeCell ref="B151:E151"/>
    <mergeCell ref="I149:L149"/>
    <mergeCell ref="B152:E152"/>
    <mergeCell ref="I150:L150"/>
    <mergeCell ref="B153:E153"/>
    <mergeCell ref="I151:L151"/>
    <mergeCell ref="B148:E148"/>
    <mergeCell ref="I146:L146"/>
    <mergeCell ref="B149:E149"/>
    <mergeCell ref="I147:L147"/>
    <mergeCell ref="B150:E150"/>
    <mergeCell ref="I20:M20"/>
    <mergeCell ref="B84:F84"/>
    <mergeCell ref="I90:M90"/>
    <mergeCell ref="I98:L98"/>
    <mergeCell ref="I99:M99"/>
    <mergeCell ref="I100:M101"/>
    <mergeCell ref="B57:F57"/>
    <mergeCell ref="I63:M63"/>
    <mergeCell ref="I73:L73"/>
    <mergeCell ref="I74:M74"/>
    <mergeCell ref="B98:E98"/>
    <mergeCell ref="I96:L96"/>
    <mergeCell ref="B99:F99"/>
    <mergeCell ref="B100:F101"/>
    <mergeCell ref="B94:E94"/>
    <mergeCell ref="I93:L93"/>
    <mergeCell ref="B96:E96"/>
    <mergeCell ref="I94:L94"/>
    <mergeCell ref="B97:E97"/>
    <mergeCell ref="I95:L95"/>
    <mergeCell ref="B91:E91"/>
    <mergeCell ref="B92:E92"/>
    <mergeCell ref="I91:L91"/>
    <mergeCell ref="B93:E93"/>
  </mergeCells>
  <dataValidations count="1">
    <dataValidation allowBlank="1" showInputMessage="1" showErrorMessage="1" prompt="O título da planilha está nesta célula. Insira o nome do cartão de crédito para atualizar o título" sqref="B1 B111:B112 B84:B85 I108 I83:I85 B28 B57:B58 B142 I27 I138 I1 I110:I111 I57:I58" xr:uid="{DC51069D-468E-4D4B-BCB0-97E11553E7EC}"/>
  </dataValidations>
  <printOptions horizontalCentered="1"/>
  <pageMargins left="0" right="0" top="0" bottom="0" header="0" footer="0"/>
  <pageSetup paperSize="9" fitToHeight="0" orientation="landscape" horizontalDpi="4294967293" r:id="rId1"/>
  <headerFooter scaleWithDoc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410FA-4A36-445F-88C9-3E4D256032B9}">
  <sheetPr>
    <tabColor theme="4"/>
  </sheetPr>
  <dimension ref="A1:P161"/>
  <sheetViews>
    <sheetView tabSelected="1" topLeftCell="A88" workbookViewId="0">
      <selection activeCell="W150" sqref="W150"/>
    </sheetView>
  </sheetViews>
  <sheetFormatPr defaultColWidth="8.88671875" defaultRowHeight="18.75" x14ac:dyDescent="0.4"/>
  <cols>
    <col min="1" max="1" width="2.21875" customWidth="1"/>
    <col min="2" max="2" width="17.6640625" customWidth="1"/>
    <col min="5" max="5" width="8.109375" customWidth="1"/>
    <col min="6" max="6" width="14.33203125" customWidth="1"/>
    <col min="7" max="7" width="1.6640625" customWidth="1"/>
    <col min="8" max="8" width="2.21875" customWidth="1"/>
    <col min="9" max="9" width="17.6640625" customWidth="1"/>
    <col min="13" max="13" width="14" customWidth="1"/>
    <col min="14" max="14" width="1.6640625" customWidth="1"/>
    <col min="15" max="16" width="10.77734375" bestFit="1" customWidth="1"/>
  </cols>
  <sheetData>
    <row r="1" spans="2:14" ht="43.5" customHeight="1" x14ac:dyDescent="0.4">
      <c r="B1" s="180" t="s">
        <v>96</v>
      </c>
      <c r="C1" s="180"/>
      <c r="D1" s="180"/>
      <c r="E1" s="180"/>
      <c r="F1" s="180"/>
      <c r="G1" s="66"/>
      <c r="H1" s="66"/>
      <c r="I1" s="180" t="s">
        <v>96</v>
      </c>
      <c r="J1" s="180"/>
      <c r="K1" s="180"/>
      <c r="L1" s="180"/>
      <c r="M1" s="180"/>
      <c r="N1" s="66"/>
    </row>
    <row r="2" spans="2:14" ht="21" customHeight="1" x14ac:dyDescent="0.4">
      <c r="B2" s="181" t="s">
        <v>97</v>
      </c>
      <c r="C2" s="181"/>
      <c r="D2" s="181"/>
      <c r="E2" s="181"/>
      <c r="F2" s="181"/>
      <c r="G2" s="67"/>
      <c r="H2" s="66"/>
      <c r="I2" s="181" t="s">
        <v>97</v>
      </c>
      <c r="J2" s="181"/>
      <c r="K2" s="181"/>
      <c r="L2" s="181"/>
      <c r="M2" s="181"/>
      <c r="N2" s="67"/>
    </row>
    <row r="3" spans="2:14" ht="21" customHeight="1" x14ac:dyDescent="0.4">
      <c r="B3" s="181" t="s">
        <v>98</v>
      </c>
      <c r="C3" s="181"/>
      <c r="D3" s="181"/>
      <c r="E3" s="181"/>
      <c r="F3" s="181"/>
      <c r="G3" s="67"/>
      <c r="H3" s="66"/>
      <c r="I3" s="181" t="s">
        <v>98</v>
      </c>
      <c r="J3" s="181"/>
      <c r="K3" s="181"/>
      <c r="L3" s="181"/>
      <c r="M3" s="181"/>
      <c r="N3" s="67"/>
    </row>
    <row r="4" spans="2:14" ht="21" customHeight="1" x14ac:dyDescent="0.4">
      <c r="B4" s="181" t="s">
        <v>202</v>
      </c>
      <c r="C4" s="181"/>
      <c r="D4" s="181"/>
      <c r="E4" s="181"/>
      <c r="F4" s="181"/>
      <c r="G4" s="67"/>
      <c r="H4" s="66"/>
      <c r="I4" s="181" t="s">
        <v>202</v>
      </c>
      <c r="J4" s="181"/>
      <c r="K4" s="181"/>
      <c r="L4" s="181"/>
      <c r="M4" s="181"/>
      <c r="N4" s="67"/>
    </row>
    <row r="5" spans="2:14" ht="18" customHeight="1" x14ac:dyDescent="0.4">
      <c r="B5" s="174" t="s">
        <v>100</v>
      </c>
      <c r="C5" s="175"/>
      <c r="D5" s="175"/>
      <c r="E5" s="175"/>
      <c r="F5" s="176"/>
      <c r="G5" s="66"/>
      <c r="H5" s="66"/>
      <c r="I5" s="174" t="s">
        <v>100</v>
      </c>
      <c r="J5" s="175"/>
      <c r="K5" s="175"/>
      <c r="L5" s="175"/>
      <c r="M5" s="176"/>
      <c r="N5" s="66"/>
    </row>
    <row r="6" spans="2:14" ht="18" customHeight="1" x14ac:dyDescent="0.4">
      <c r="B6" s="177" t="s">
        <v>101</v>
      </c>
      <c r="C6" s="178"/>
      <c r="D6" s="178"/>
      <c r="E6" s="178"/>
      <c r="F6" s="179"/>
      <c r="G6" s="66"/>
      <c r="H6" s="66"/>
      <c r="I6" s="177" t="s">
        <v>101</v>
      </c>
      <c r="J6" s="178"/>
      <c r="K6" s="178"/>
      <c r="L6" s="178"/>
      <c r="M6" s="179"/>
      <c r="N6" s="66"/>
    </row>
    <row r="7" spans="2:14" x14ac:dyDescent="0.4">
      <c r="B7" s="166" t="s">
        <v>278</v>
      </c>
      <c r="C7" s="167"/>
      <c r="D7" s="167"/>
      <c r="E7" s="167"/>
      <c r="F7" s="68">
        <v>2900</v>
      </c>
      <c r="G7" s="66"/>
      <c r="H7" s="66"/>
      <c r="I7" s="166" t="s">
        <v>278</v>
      </c>
      <c r="J7" s="167"/>
      <c r="K7" s="167"/>
      <c r="L7" s="167"/>
      <c r="M7" s="68">
        <v>2900</v>
      </c>
      <c r="N7" s="66"/>
    </row>
    <row r="8" spans="2:14" x14ac:dyDescent="0.4">
      <c r="B8" s="166" t="s">
        <v>204</v>
      </c>
      <c r="C8" s="167"/>
      <c r="D8" s="167"/>
      <c r="E8" s="167"/>
      <c r="F8" s="68">
        <v>0</v>
      </c>
      <c r="G8" s="66"/>
      <c r="H8" s="66"/>
      <c r="I8" s="166" t="s">
        <v>204</v>
      </c>
      <c r="J8" s="167"/>
      <c r="K8" s="167"/>
      <c r="L8" s="167"/>
      <c r="M8" s="68">
        <v>0</v>
      </c>
      <c r="N8" s="66"/>
    </row>
    <row r="9" spans="2:14" x14ac:dyDescent="0.4">
      <c r="B9" s="166"/>
      <c r="C9" s="167"/>
      <c r="D9" s="167"/>
      <c r="E9" s="167"/>
      <c r="F9" s="68">
        <v>0</v>
      </c>
      <c r="G9" s="66"/>
      <c r="H9" s="66"/>
      <c r="I9" s="166"/>
      <c r="J9" s="167"/>
      <c r="K9" s="167"/>
      <c r="L9" s="167"/>
      <c r="M9" s="68">
        <v>0</v>
      </c>
      <c r="N9" s="66"/>
    </row>
    <row r="10" spans="2:14" x14ac:dyDescent="0.4">
      <c r="B10" s="166" t="s">
        <v>106</v>
      </c>
      <c r="C10" s="167"/>
      <c r="D10" s="167"/>
      <c r="E10" s="167"/>
      <c r="F10" s="68">
        <v>46.22</v>
      </c>
      <c r="G10" s="66"/>
      <c r="H10" s="66"/>
      <c r="I10" s="166" t="s">
        <v>106</v>
      </c>
      <c r="J10" s="167"/>
      <c r="K10" s="167"/>
      <c r="L10" s="167"/>
      <c r="M10" s="68">
        <v>46.22</v>
      </c>
      <c r="N10" s="66"/>
    </row>
    <row r="11" spans="2:14" ht="18" customHeight="1" x14ac:dyDescent="0.4">
      <c r="B11" s="172" t="s">
        <v>107</v>
      </c>
      <c r="C11" s="173"/>
      <c r="D11" s="173"/>
      <c r="E11" s="173"/>
      <c r="F11" s="69"/>
      <c r="G11" s="66"/>
      <c r="H11" s="66"/>
      <c r="I11" s="172" t="s">
        <v>107</v>
      </c>
      <c r="J11" s="173"/>
      <c r="K11" s="173"/>
      <c r="L11" s="173"/>
      <c r="M11" s="69"/>
      <c r="N11" s="66"/>
    </row>
    <row r="12" spans="2:14" ht="18" customHeight="1" x14ac:dyDescent="0.4">
      <c r="B12" s="166" t="s">
        <v>273</v>
      </c>
      <c r="C12" s="167"/>
      <c r="D12" s="167"/>
      <c r="E12" s="167"/>
      <c r="F12" s="68">
        <v>39.9</v>
      </c>
      <c r="G12" s="66"/>
      <c r="H12" s="66"/>
      <c r="I12" s="166" t="s">
        <v>273</v>
      </c>
      <c r="J12" s="167"/>
      <c r="K12" s="167"/>
      <c r="L12" s="167"/>
      <c r="M12" s="68">
        <v>39.9</v>
      </c>
      <c r="N12" s="66"/>
    </row>
    <row r="13" spans="2:14" ht="18" customHeight="1" x14ac:dyDescent="0.4">
      <c r="B13" s="166" t="s">
        <v>109</v>
      </c>
      <c r="C13" s="167"/>
      <c r="D13" s="167"/>
      <c r="E13" s="167"/>
      <c r="F13" s="68">
        <v>197.24</v>
      </c>
      <c r="G13" s="66"/>
      <c r="H13" s="66"/>
      <c r="I13" s="166" t="s">
        <v>109</v>
      </c>
      <c r="J13" s="167"/>
      <c r="K13" s="167"/>
      <c r="L13" s="167"/>
      <c r="M13" s="68">
        <v>197.24</v>
      </c>
      <c r="N13" s="66"/>
    </row>
    <row r="14" spans="2:14" ht="18" customHeight="1" x14ac:dyDescent="0.4">
      <c r="B14" s="166" t="s">
        <v>277</v>
      </c>
      <c r="C14" s="167"/>
      <c r="D14" s="167"/>
      <c r="E14" s="167"/>
      <c r="F14" s="68">
        <v>41.25</v>
      </c>
      <c r="G14" s="66"/>
      <c r="H14" s="66"/>
      <c r="I14" s="166" t="s">
        <v>277</v>
      </c>
      <c r="J14" s="167"/>
      <c r="K14" s="167"/>
      <c r="L14" s="167"/>
      <c r="M14" s="68">
        <v>41.25</v>
      </c>
      <c r="N14" s="66"/>
    </row>
    <row r="15" spans="2:14" ht="18" customHeight="1" x14ac:dyDescent="0.4">
      <c r="B15" s="166" t="s">
        <v>206</v>
      </c>
      <c r="C15" s="167"/>
      <c r="D15" s="167"/>
      <c r="E15" s="167"/>
      <c r="F15" s="68">
        <v>580</v>
      </c>
      <c r="G15" s="66"/>
      <c r="H15" s="66"/>
      <c r="I15" s="166" t="s">
        <v>206</v>
      </c>
      <c r="J15" s="167"/>
      <c r="K15" s="167"/>
      <c r="L15" s="167"/>
      <c r="M15" s="68">
        <v>580</v>
      </c>
      <c r="N15" s="66"/>
    </row>
    <row r="16" spans="2:14" ht="48.95" customHeight="1" x14ac:dyDescent="0.4">
      <c r="B16" s="168" t="s">
        <v>112</v>
      </c>
      <c r="C16" s="169"/>
      <c r="D16" s="169"/>
      <c r="E16" s="169"/>
      <c r="F16" s="70">
        <f>SUM(F7:F10)-SUM(F12:F15)</f>
        <v>2087.83</v>
      </c>
      <c r="G16" s="71"/>
      <c r="H16" s="72"/>
      <c r="I16" s="168" t="s">
        <v>112</v>
      </c>
      <c r="J16" s="169"/>
      <c r="K16" s="169"/>
      <c r="L16" s="169"/>
      <c r="M16" s="70">
        <f>SUM(M7:M10)-SUM(M12:M15)</f>
        <v>2087.83</v>
      </c>
      <c r="N16" s="73"/>
    </row>
    <row r="17" spans="1:14" ht="33.75" customHeight="1" x14ac:dyDescent="0.3">
      <c r="B17" s="170" t="s">
        <v>281</v>
      </c>
      <c r="C17" s="170"/>
      <c r="D17" s="170"/>
      <c r="E17" s="170"/>
      <c r="F17" s="170"/>
      <c r="G17" s="74"/>
      <c r="H17" s="66"/>
      <c r="I17" s="170" t="s">
        <v>281</v>
      </c>
      <c r="J17" s="170"/>
      <c r="K17" s="170"/>
      <c r="L17" s="170"/>
      <c r="M17" s="170"/>
      <c r="N17" s="84"/>
    </row>
    <row r="18" spans="1:14" ht="32.25" customHeight="1" x14ac:dyDescent="0.3">
      <c r="B18" s="163" t="s">
        <v>114</v>
      </c>
      <c r="C18" s="163"/>
      <c r="D18" s="163"/>
      <c r="E18" s="163"/>
      <c r="F18" s="163"/>
      <c r="G18" s="75"/>
      <c r="H18" s="66"/>
      <c r="I18" s="163" t="s">
        <v>114</v>
      </c>
      <c r="J18" s="163"/>
      <c r="K18" s="163"/>
      <c r="L18" s="163"/>
      <c r="M18" s="163"/>
      <c r="N18" s="75"/>
    </row>
    <row r="19" spans="1:14" ht="16.899999999999999" customHeight="1" x14ac:dyDescent="0.4">
      <c r="B19" s="73"/>
      <c r="C19" s="75"/>
      <c r="D19" s="75"/>
      <c r="E19" s="75"/>
      <c r="F19" s="75"/>
      <c r="G19" s="77"/>
      <c r="H19" s="66"/>
      <c r="I19" s="73"/>
      <c r="J19" s="75"/>
      <c r="K19" s="75"/>
      <c r="L19" s="75"/>
      <c r="M19" s="75"/>
      <c r="N19" s="77"/>
    </row>
    <row r="20" spans="1:14" ht="16.899999999999999" customHeight="1" x14ac:dyDescent="0.4">
      <c r="B20" s="164" t="s">
        <v>208</v>
      </c>
      <c r="C20" s="164"/>
      <c r="D20" s="164"/>
      <c r="E20" s="164"/>
      <c r="F20" s="164"/>
      <c r="G20" s="36"/>
      <c r="I20" s="164" t="s">
        <v>208</v>
      </c>
      <c r="J20" s="164"/>
      <c r="K20" s="164"/>
      <c r="L20" s="164"/>
      <c r="M20" s="164"/>
      <c r="N20" s="36"/>
    </row>
    <row r="21" spans="1:14" ht="16.899999999999999" customHeight="1" x14ac:dyDescent="0.4">
      <c r="B21" s="36"/>
      <c r="C21" s="37"/>
      <c r="D21" s="37"/>
      <c r="E21" s="37"/>
      <c r="F21" s="37"/>
      <c r="G21" s="36"/>
      <c r="I21" s="36"/>
      <c r="J21" s="37"/>
      <c r="K21" s="37"/>
      <c r="L21" s="37"/>
      <c r="M21" s="37"/>
      <c r="N21" s="36"/>
    </row>
    <row r="22" spans="1:14" ht="16.899999999999999" customHeight="1" x14ac:dyDescent="0.4">
      <c r="B22" s="36"/>
      <c r="C22" s="37"/>
      <c r="D22" s="37"/>
      <c r="E22" s="37"/>
      <c r="F22" s="37"/>
      <c r="G22" s="36"/>
      <c r="I22" s="36"/>
      <c r="J22" s="37"/>
      <c r="K22" s="37"/>
      <c r="L22" s="37"/>
      <c r="M22" s="37"/>
      <c r="N22" s="36"/>
    </row>
    <row r="23" spans="1:14" ht="16.899999999999999" customHeight="1" x14ac:dyDescent="0.4">
      <c r="B23" s="36"/>
      <c r="C23" s="37"/>
      <c r="D23" s="37"/>
      <c r="E23" s="37"/>
      <c r="F23" s="37"/>
      <c r="G23" s="36"/>
      <c r="I23" s="36"/>
      <c r="J23" s="37"/>
      <c r="K23" s="37"/>
      <c r="L23" s="37"/>
      <c r="M23" s="37"/>
      <c r="N23" s="36"/>
    </row>
    <row r="24" spans="1:14" ht="16.899999999999999" customHeight="1" x14ac:dyDescent="0.4">
      <c r="B24" s="36"/>
      <c r="C24" s="37"/>
      <c r="D24" s="37"/>
      <c r="E24" s="37"/>
      <c r="F24" s="37"/>
      <c r="G24" s="36"/>
      <c r="I24" s="36"/>
      <c r="J24" s="37"/>
      <c r="K24" s="37"/>
      <c r="L24" s="37"/>
      <c r="M24" s="37"/>
      <c r="N24" s="36"/>
    </row>
    <row r="25" spans="1:14" ht="16.899999999999999" customHeight="1" x14ac:dyDescent="0.4">
      <c r="B25" s="36"/>
      <c r="C25" s="37"/>
      <c r="D25" s="37"/>
      <c r="E25" s="37"/>
      <c r="F25" s="37"/>
      <c r="G25" s="36"/>
      <c r="I25" s="36"/>
      <c r="J25" s="37"/>
      <c r="K25" s="37"/>
      <c r="L25" s="37"/>
      <c r="M25" s="37"/>
      <c r="N25" s="36"/>
    </row>
    <row r="26" spans="1:14" ht="16.899999999999999" customHeight="1" x14ac:dyDescent="0.4">
      <c r="B26" s="36"/>
      <c r="C26" s="37"/>
      <c r="D26" s="37"/>
      <c r="E26" s="37"/>
      <c r="F26" s="37"/>
      <c r="G26" s="36"/>
      <c r="I26" s="36"/>
      <c r="J26" s="37"/>
      <c r="K26" s="37"/>
      <c r="L26" s="37"/>
      <c r="M26" s="37"/>
      <c r="N26" s="36"/>
    </row>
    <row r="27" spans="1:14" ht="47.25" customHeight="1" x14ac:dyDescent="0.4">
      <c r="A27" s="66"/>
      <c r="B27" s="180" t="s">
        <v>96</v>
      </c>
      <c r="C27" s="180"/>
      <c r="D27" s="180"/>
      <c r="E27" s="180"/>
      <c r="F27" s="180"/>
      <c r="G27" s="66"/>
      <c r="H27" s="66"/>
      <c r="I27" s="180" t="s">
        <v>96</v>
      </c>
      <c r="J27" s="180"/>
      <c r="K27" s="180"/>
      <c r="L27" s="180"/>
      <c r="M27" s="180"/>
    </row>
    <row r="28" spans="1:14" ht="21" customHeight="1" x14ac:dyDescent="0.4">
      <c r="A28" s="66"/>
      <c r="B28" s="180"/>
      <c r="C28" s="180"/>
      <c r="D28" s="180"/>
      <c r="E28" s="180"/>
      <c r="F28" s="180"/>
      <c r="G28" s="67"/>
      <c r="H28" s="66"/>
      <c r="I28" s="181" t="s">
        <v>97</v>
      </c>
      <c r="J28" s="181"/>
      <c r="K28" s="181"/>
      <c r="L28" s="181"/>
      <c r="M28" s="181"/>
      <c r="N28" s="24"/>
    </row>
    <row r="29" spans="1:14" ht="21" customHeight="1" x14ac:dyDescent="0.4">
      <c r="A29" s="66"/>
      <c r="B29" s="197" t="s">
        <v>97</v>
      </c>
      <c r="C29" s="197"/>
      <c r="D29" s="197"/>
      <c r="E29" s="197"/>
      <c r="F29" s="197"/>
      <c r="G29" s="67"/>
      <c r="H29" s="66"/>
      <c r="I29" s="181" t="s">
        <v>98</v>
      </c>
      <c r="J29" s="181"/>
      <c r="K29" s="181"/>
      <c r="L29" s="181"/>
      <c r="M29" s="181"/>
      <c r="N29" s="24"/>
    </row>
    <row r="30" spans="1:14" ht="21" customHeight="1" thickBot="1" x14ac:dyDescent="0.45">
      <c r="A30" s="66"/>
      <c r="B30" s="181" t="s">
        <v>98</v>
      </c>
      <c r="C30" s="181"/>
      <c r="D30" s="181"/>
      <c r="E30" s="181"/>
      <c r="F30" s="181"/>
      <c r="G30" s="67"/>
      <c r="H30" s="66"/>
      <c r="I30" s="186" t="s">
        <v>245</v>
      </c>
      <c r="J30" s="186"/>
      <c r="K30" s="186"/>
      <c r="L30" s="186"/>
      <c r="M30" s="186"/>
      <c r="N30" s="24"/>
    </row>
    <row r="31" spans="1:14" ht="18" customHeight="1" thickTop="1" x14ac:dyDescent="0.4">
      <c r="A31" s="66"/>
      <c r="B31" s="181" t="s">
        <v>245</v>
      </c>
      <c r="C31" s="181"/>
      <c r="D31" s="181"/>
      <c r="E31" s="181"/>
      <c r="F31" s="181"/>
      <c r="G31" s="72"/>
      <c r="H31" s="66"/>
      <c r="I31" s="174" t="s">
        <v>100</v>
      </c>
      <c r="J31" s="175"/>
      <c r="K31" s="175"/>
      <c r="L31" s="175"/>
      <c r="M31" s="176"/>
      <c r="N31" s="32"/>
    </row>
    <row r="32" spans="1:14" ht="18" customHeight="1" x14ac:dyDescent="0.4">
      <c r="A32" s="66"/>
      <c r="B32" s="174" t="s">
        <v>100</v>
      </c>
      <c r="C32" s="175"/>
      <c r="D32" s="175"/>
      <c r="E32" s="175"/>
      <c r="F32" s="176"/>
      <c r="G32" s="72"/>
      <c r="H32" s="66"/>
      <c r="I32" s="177" t="s">
        <v>101</v>
      </c>
      <c r="J32" s="178"/>
      <c r="K32" s="178"/>
      <c r="L32" s="178"/>
      <c r="M32" s="179"/>
      <c r="N32" s="32"/>
    </row>
    <row r="33" spans="1:14" ht="18" customHeight="1" x14ac:dyDescent="0.4">
      <c r="A33" s="66"/>
      <c r="B33" s="177" t="s">
        <v>101</v>
      </c>
      <c r="C33" s="178"/>
      <c r="D33" s="178"/>
      <c r="E33" s="178"/>
      <c r="F33" s="179"/>
      <c r="G33" s="66"/>
      <c r="H33" s="66"/>
      <c r="I33" s="166" t="s">
        <v>246</v>
      </c>
      <c r="J33" s="167"/>
      <c r="K33" s="167"/>
      <c r="L33" s="167"/>
      <c r="M33" s="79">
        <v>0</v>
      </c>
    </row>
    <row r="34" spans="1:14" ht="18" customHeight="1" x14ac:dyDescent="0.4">
      <c r="A34" s="66"/>
      <c r="B34" s="166" t="s">
        <v>246</v>
      </c>
      <c r="C34" s="167"/>
      <c r="D34" s="167"/>
      <c r="E34" s="167"/>
      <c r="F34" s="78">
        <v>0</v>
      </c>
      <c r="G34" s="66"/>
      <c r="H34" s="66"/>
      <c r="I34" s="166" t="s">
        <v>211</v>
      </c>
      <c r="J34" s="167"/>
      <c r="K34" s="167"/>
      <c r="L34" s="167"/>
      <c r="M34" s="68">
        <v>0</v>
      </c>
    </row>
    <row r="35" spans="1:14" ht="18" customHeight="1" x14ac:dyDescent="0.4">
      <c r="A35" s="66"/>
      <c r="B35" s="166" t="s">
        <v>211</v>
      </c>
      <c r="C35" s="167"/>
      <c r="D35" s="167"/>
      <c r="E35" s="167"/>
      <c r="F35" s="68">
        <v>0</v>
      </c>
      <c r="G35" s="66"/>
      <c r="H35" s="66"/>
      <c r="I35" s="166" t="s">
        <v>213</v>
      </c>
      <c r="J35" s="167"/>
      <c r="K35" s="167"/>
      <c r="L35" s="167"/>
      <c r="M35" s="68">
        <v>0</v>
      </c>
    </row>
    <row r="36" spans="1:14" ht="18" customHeight="1" x14ac:dyDescent="0.4">
      <c r="A36" s="66"/>
      <c r="B36" s="166" t="s">
        <v>212</v>
      </c>
      <c r="C36" s="167"/>
      <c r="D36" s="167"/>
      <c r="E36" s="167"/>
      <c r="F36" s="68">
        <v>0</v>
      </c>
      <c r="G36" s="66"/>
      <c r="H36" s="66"/>
      <c r="I36" s="166" t="s">
        <v>214</v>
      </c>
      <c r="J36" s="167"/>
      <c r="K36" s="167"/>
      <c r="L36" s="167"/>
      <c r="M36" s="68">
        <v>0</v>
      </c>
    </row>
    <row r="37" spans="1:14" ht="18" customHeight="1" x14ac:dyDescent="0.4">
      <c r="A37" s="66"/>
      <c r="B37" s="166" t="s">
        <v>214</v>
      </c>
      <c r="C37" s="167"/>
      <c r="D37" s="167"/>
      <c r="E37" s="167"/>
      <c r="F37" s="68">
        <v>0</v>
      </c>
      <c r="G37" s="66"/>
      <c r="H37" s="66"/>
      <c r="I37" s="172" t="s">
        <v>107</v>
      </c>
      <c r="J37" s="173"/>
      <c r="K37" s="173"/>
      <c r="L37" s="173"/>
      <c r="M37" s="69"/>
    </row>
    <row r="38" spans="1:14" ht="18" customHeight="1" x14ac:dyDescent="0.4">
      <c r="A38" s="66"/>
      <c r="B38" s="172" t="s">
        <v>107</v>
      </c>
      <c r="C38" s="173"/>
      <c r="D38" s="173"/>
      <c r="E38" s="173"/>
      <c r="F38" s="69"/>
      <c r="G38" s="66"/>
      <c r="H38" s="66"/>
      <c r="I38" s="166" t="s">
        <v>215</v>
      </c>
      <c r="J38" s="167"/>
      <c r="K38" s="167"/>
      <c r="L38" s="167"/>
      <c r="M38" s="68">
        <v>0</v>
      </c>
    </row>
    <row r="39" spans="1:14" ht="18" customHeight="1" x14ac:dyDescent="0.4">
      <c r="A39" s="66"/>
      <c r="B39" s="166" t="s">
        <v>215</v>
      </c>
      <c r="C39" s="167"/>
      <c r="D39" s="167"/>
      <c r="E39" s="167"/>
      <c r="F39" s="68">
        <v>0</v>
      </c>
      <c r="G39" s="66"/>
      <c r="H39" s="66"/>
      <c r="I39" s="166" t="s">
        <v>216</v>
      </c>
      <c r="J39" s="167"/>
      <c r="K39" s="167"/>
      <c r="L39" s="167"/>
      <c r="M39" s="68">
        <v>0</v>
      </c>
    </row>
    <row r="40" spans="1:14" ht="28.5" customHeight="1" x14ac:dyDescent="0.4">
      <c r="A40" s="66"/>
      <c r="B40" s="166" t="s">
        <v>216</v>
      </c>
      <c r="C40" s="167"/>
      <c r="D40" s="167"/>
      <c r="E40" s="167"/>
      <c r="F40" s="68">
        <v>0</v>
      </c>
      <c r="G40" s="66"/>
      <c r="H40" s="66"/>
      <c r="I40" s="166" t="s">
        <v>217</v>
      </c>
      <c r="J40" s="167"/>
      <c r="K40" s="167"/>
      <c r="L40" s="167"/>
      <c r="M40" s="68">
        <v>0</v>
      </c>
      <c r="N40" s="39"/>
    </row>
    <row r="41" spans="1:14" ht="22.5" customHeight="1" x14ac:dyDescent="0.3">
      <c r="A41" s="66"/>
      <c r="B41" s="166" t="s">
        <v>217</v>
      </c>
      <c r="C41" s="167"/>
      <c r="D41" s="167"/>
      <c r="E41" s="167"/>
      <c r="F41" s="68">
        <v>0</v>
      </c>
      <c r="G41" s="66"/>
      <c r="H41" s="66"/>
      <c r="I41" s="166" t="s">
        <v>218</v>
      </c>
      <c r="J41" s="167"/>
      <c r="K41" s="167"/>
      <c r="L41" s="167"/>
      <c r="M41" s="68">
        <v>0</v>
      </c>
      <c r="N41" s="34"/>
    </row>
    <row r="42" spans="1:14" ht="42.75" customHeight="1" x14ac:dyDescent="0.4">
      <c r="A42" s="66"/>
      <c r="B42" s="166" t="s">
        <v>218</v>
      </c>
      <c r="C42" s="167"/>
      <c r="D42" s="167"/>
      <c r="E42" s="167"/>
      <c r="F42" s="68">
        <v>0</v>
      </c>
      <c r="G42" s="80"/>
      <c r="H42" s="66"/>
      <c r="I42" s="168" t="s">
        <v>112</v>
      </c>
      <c r="J42" s="169"/>
      <c r="K42" s="169"/>
      <c r="L42" s="169"/>
      <c r="M42" s="70">
        <f>SUM(M33:M36)-SUM(M38:M41)</f>
        <v>0</v>
      </c>
      <c r="N42" s="35"/>
    </row>
    <row r="43" spans="1:14" ht="31.5" customHeight="1" thickBot="1" x14ac:dyDescent="0.35">
      <c r="A43" s="66"/>
      <c r="B43" s="168" t="s">
        <v>112</v>
      </c>
      <c r="C43" s="169"/>
      <c r="D43" s="169"/>
      <c r="E43" s="169"/>
      <c r="F43" s="70">
        <f>SUM(F34:F37)-SUM(F39:F42)</f>
        <v>0</v>
      </c>
      <c r="G43" s="74"/>
      <c r="H43" s="66"/>
      <c r="I43" s="171" t="s">
        <v>247</v>
      </c>
      <c r="J43" s="171"/>
      <c r="K43" s="171"/>
      <c r="L43" s="171"/>
      <c r="M43" s="171"/>
      <c r="N43" s="40"/>
    </row>
    <row r="44" spans="1:14" ht="28.5" customHeight="1" thickTop="1" x14ac:dyDescent="0.3">
      <c r="A44" s="66"/>
      <c r="B44" s="170" t="s">
        <v>247</v>
      </c>
      <c r="C44" s="170"/>
      <c r="D44" s="170"/>
      <c r="E44" s="170"/>
      <c r="F44" s="170"/>
      <c r="G44" s="75"/>
      <c r="H44" s="66"/>
      <c r="I44" s="163" t="s">
        <v>114</v>
      </c>
      <c r="J44" s="163"/>
      <c r="K44" s="163"/>
      <c r="L44" s="163"/>
      <c r="M44" s="163"/>
      <c r="N44" s="40"/>
    </row>
    <row r="45" spans="1:14" ht="17.100000000000001" customHeight="1" x14ac:dyDescent="0.3">
      <c r="B45" s="163" t="s">
        <v>114</v>
      </c>
      <c r="C45" s="163"/>
      <c r="D45" s="163"/>
      <c r="E45" s="163"/>
      <c r="F45" s="163"/>
      <c r="G45" s="40"/>
      <c r="I45" s="162"/>
      <c r="J45" s="162"/>
      <c r="K45" s="162"/>
      <c r="L45" s="162"/>
      <c r="M45" s="162"/>
      <c r="N45" s="40"/>
    </row>
    <row r="46" spans="1:14" ht="17.100000000000001" customHeight="1" x14ac:dyDescent="0.4">
      <c r="B46" s="161"/>
      <c r="C46" s="161"/>
      <c r="D46" s="161"/>
      <c r="E46" s="161"/>
      <c r="F46" s="161"/>
      <c r="G46" s="40"/>
      <c r="I46" s="119" t="s">
        <v>220</v>
      </c>
      <c r="J46" s="119"/>
      <c r="K46" s="119"/>
      <c r="L46" s="119"/>
      <c r="M46" s="119"/>
      <c r="N46" s="40"/>
    </row>
    <row r="47" spans="1:14" ht="17.100000000000001" customHeight="1" x14ac:dyDescent="0.4">
      <c r="B47" s="119" t="s">
        <v>220</v>
      </c>
      <c r="C47" s="119"/>
      <c r="D47" s="119"/>
      <c r="E47" s="119"/>
      <c r="F47" s="119"/>
      <c r="G47" s="40"/>
      <c r="I47" s="40"/>
      <c r="J47" s="37"/>
      <c r="K47" s="37"/>
      <c r="L47" s="37"/>
      <c r="M47" s="37"/>
      <c r="N47" s="40"/>
    </row>
    <row r="48" spans="1:14" ht="17.100000000000001" customHeight="1" x14ac:dyDescent="0.4">
      <c r="B48" s="40"/>
      <c r="C48" s="37"/>
      <c r="D48" s="37"/>
      <c r="E48" s="37"/>
      <c r="F48" s="37"/>
      <c r="G48" s="40"/>
      <c r="I48" s="40"/>
      <c r="J48" s="37"/>
      <c r="K48" s="37"/>
      <c r="L48" s="37"/>
      <c r="M48" s="37"/>
      <c r="N48" s="40"/>
    </row>
    <row r="49" spans="1:14" ht="17.100000000000001" customHeight="1" x14ac:dyDescent="0.4">
      <c r="B49" s="40"/>
      <c r="C49" s="37"/>
      <c r="D49" s="37"/>
      <c r="E49" s="37"/>
      <c r="F49" s="37"/>
      <c r="G49" s="40"/>
      <c r="I49" s="40"/>
      <c r="J49" s="37"/>
      <c r="K49" s="37"/>
      <c r="L49" s="37"/>
      <c r="M49" s="37"/>
      <c r="N49" s="40"/>
    </row>
    <row r="50" spans="1:14" ht="17.100000000000001" customHeight="1" x14ac:dyDescent="0.4">
      <c r="B50" s="40"/>
      <c r="C50" s="37"/>
      <c r="D50" s="37"/>
      <c r="E50" s="37"/>
      <c r="F50" s="37"/>
      <c r="G50" s="40"/>
      <c r="I50" s="40"/>
      <c r="J50" s="37"/>
      <c r="K50" s="37"/>
      <c r="L50" s="37"/>
      <c r="M50" s="37"/>
      <c r="N50" s="40"/>
    </row>
    <row r="51" spans="1:14" ht="17.100000000000001" customHeight="1" x14ac:dyDescent="0.4">
      <c r="B51" s="40"/>
      <c r="C51" s="37"/>
      <c r="D51" s="37"/>
      <c r="E51" s="37"/>
      <c r="F51" s="37"/>
      <c r="G51" s="40"/>
      <c r="I51" s="40"/>
      <c r="J51" s="37"/>
      <c r="K51" s="37"/>
      <c r="L51" s="37"/>
      <c r="M51" s="37"/>
      <c r="N51" s="40"/>
    </row>
    <row r="52" spans="1:14" ht="17.100000000000001" customHeight="1" x14ac:dyDescent="0.4">
      <c r="B52" s="40"/>
      <c r="C52" s="37"/>
      <c r="D52" s="37"/>
      <c r="E52" s="37"/>
      <c r="F52" s="37"/>
      <c r="G52" s="40"/>
      <c r="I52" s="40"/>
      <c r="J52" s="37"/>
      <c r="K52" s="37"/>
      <c r="L52" s="37"/>
      <c r="M52" s="37"/>
      <c r="N52" s="40"/>
    </row>
    <row r="53" spans="1:14" ht="17.100000000000001" customHeight="1" x14ac:dyDescent="0.4">
      <c r="B53" s="40"/>
      <c r="C53" s="37"/>
      <c r="D53" s="37"/>
      <c r="E53" s="37"/>
      <c r="F53" s="37"/>
      <c r="G53" s="40"/>
      <c r="I53" s="40"/>
      <c r="J53" s="37"/>
      <c r="K53" s="37"/>
      <c r="L53" s="37"/>
      <c r="M53" s="37"/>
      <c r="N53" s="40"/>
    </row>
    <row r="54" spans="1:14" ht="47.25" customHeight="1" x14ac:dyDescent="0.4">
      <c r="B54" s="40"/>
      <c r="C54" s="37"/>
      <c r="D54" s="37"/>
      <c r="E54" s="37"/>
      <c r="F54" s="37"/>
      <c r="G54" s="40"/>
      <c r="I54" s="40"/>
      <c r="J54" s="37"/>
      <c r="K54" s="37"/>
      <c r="L54" s="37"/>
      <c r="M54" s="37"/>
    </row>
    <row r="55" spans="1:14" ht="21" hidden="1" customHeight="1" x14ac:dyDescent="0.4">
      <c r="B55" s="40"/>
      <c r="C55" s="37"/>
      <c r="D55" s="37"/>
      <c r="E55" s="37"/>
      <c r="F55" s="37"/>
      <c r="G55" s="40"/>
      <c r="I55" s="40"/>
      <c r="J55" s="37"/>
      <c r="K55" s="37"/>
      <c r="L55" s="37"/>
      <c r="M55" s="37"/>
      <c r="N55" s="24"/>
    </row>
    <row r="56" spans="1:14" ht="20.25" customHeight="1" x14ac:dyDescent="0.4">
      <c r="A56" s="66"/>
      <c r="B56" s="40"/>
      <c r="C56" s="37"/>
      <c r="D56" s="37"/>
      <c r="E56" s="37"/>
      <c r="F56" s="37"/>
      <c r="G56" s="66"/>
      <c r="H56" s="66"/>
      <c r="I56" s="81"/>
      <c r="J56" s="76"/>
      <c r="K56" s="76"/>
      <c r="L56" s="76"/>
      <c r="M56" s="76"/>
      <c r="N56" s="24"/>
    </row>
    <row r="57" spans="1:14" ht="45.75" customHeight="1" x14ac:dyDescent="0.4">
      <c r="A57" s="66"/>
      <c r="B57" s="180" t="s">
        <v>96</v>
      </c>
      <c r="C57" s="180"/>
      <c r="D57" s="180"/>
      <c r="E57" s="180"/>
      <c r="F57" s="180"/>
      <c r="G57" s="67"/>
      <c r="H57" s="66"/>
      <c r="I57" s="180" t="s">
        <v>96</v>
      </c>
      <c r="J57" s="180"/>
      <c r="K57" s="180"/>
      <c r="L57" s="180"/>
      <c r="M57" s="180"/>
      <c r="N57" s="24"/>
    </row>
    <row r="58" spans="1:14" ht="18" customHeight="1" x14ac:dyDescent="0.4">
      <c r="A58" s="66"/>
      <c r="B58" s="180"/>
      <c r="C58" s="180"/>
      <c r="D58" s="180"/>
      <c r="E58" s="180"/>
      <c r="F58" s="180"/>
      <c r="G58" s="67"/>
      <c r="H58" s="66"/>
      <c r="I58" s="180"/>
      <c r="J58" s="180"/>
      <c r="K58" s="180"/>
      <c r="L58" s="180"/>
      <c r="M58" s="180"/>
    </row>
    <row r="59" spans="1:14" ht="18" customHeight="1" x14ac:dyDescent="0.4">
      <c r="A59" s="66"/>
      <c r="B59" s="181" t="s">
        <v>97</v>
      </c>
      <c r="C59" s="181"/>
      <c r="D59" s="181"/>
      <c r="E59" s="181"/>
      <c r="F59" s="181"/>
      <c r="G59" s="67"/>
      <c r="H59" s="66"/>
      <c r="I59" s="181" t="s">
        <v>97</v>
      </c>
      <c r="J59" s="181"/>
      <c r="K59" s="181"/>
      <c r="L59" s="181"/>
      <c r="M59" s="181"/>
    </row>
    <row r="60" spans="1:14" ht="18" customHeight="1" x14ac:dyDescent="0.4">
      <c r="A60" s="66"/>
      <c r="B60" s="181" t="s">
        <v>98</v>
      </c>
      <c r="C60" s="181"/>
      <c r="D60" s="181"/>
      <c r="E60" s="181"/>
      <c r="F60" s="181"/>
      <c r="G60" s="66"/>
      <c r="H60" s="66"/>
      <c r="I60" s="181" t="s">
        <v>98</v>
      </c>
      <c r="J60" s="181"/>
      <c r="K60" s="181"/>
      <c r="L60" s="181"/>
      <c r="M60" s="181"/>
    </row>
    <row r="61" spans="1:14" ht="18" customHeight="1" x14ac:dyDescent="0.4">
      <c r="A61" s="66"/>
      <c r="B61" s="181" t="s">
        <v>221</v>
      </c>
      <c r="C61" s="181"/>
      <c r="D61" s="181"/>
      <c r="E61" s="181"/>
      <c r="F61" s="181"/>
      <c r="G61" s="66"/>
      <c r="H61" s="66"/>
      <c r="I61" s="181" t="s">
        <v>221</v>
      </c>
      <c r="J61" s="181"/>
      <c r="K61" s="181"/>
      <c r="L61" s="181"/>
      <c r="M61" s="181"/>
    </row>
    <row r="62" spans="1:14" x14ac:dyDescent="0.4">
      <c r="A62" s="66"/>
      <c r="B62" s="174" t="s">
        <v>100</v>
      </c>
      <c r="C62" s="175"/>
      <c r="D62" s="175"/>
      <c r="E62" s="175"/>
      <c r="F62" s="176"/>
      <c r="G62" s="66"/>
      <c r="H62" s="66"/>
      <c r="I62" s="174" t="s">
        <v>100</v>
      </c>
      <c r="J62" s="175"/>
      <c r="K62" s="175"/>
      <c r="L62" s="175"/>
      <c r="M62" s="176"/>
    </row>
    <row r="63" spans="1:14" x14ac:dyDescent="0.4">
      <c r="A63" s="66"/>
      <c r="B63" s="177" t="s">
        <v>101</v>
      </c>
      <c r="C63" s="178"/>
      <c r="D63" s="178"/>
      <c r="E63" s="178"/>
      <c r="F63" s="179"/>
      <c r="G63" s="66"/>
      <c r="H63" s="66"/>
      <c r="I63" s="177" t="s">
        <v>101</v>
      </c>
      <c r="J63" s="178"/>
      <c r="K63" s="178"/>
      <c r="L63" s="178"/>
      <c r="M63" s="179"/>
    </row>
    <row r="64" spans="1:14" ht="18" customHeight="1" x14ac:dyDescent="0.4">
      <c r="A64" s="66"/>
      <c r="B64" s="166" t="s">
        <v>280</v>
      </c>
      <c r="C64" s="167"/>
      <c r="D64" s="167"/>
      <c r="E64" s="167"/>
      <c r="F64" s="78">
        <v>2000</v>
      </c>
      <c r="G64" s="66"/>
      <c r="H64" s="66"/>
      <c r="I64" s="166" t="s">
        <v>280</v>
      </c>
      <c r="J64" s="167"/>
      <c r="K64" s="167"/>
      <c r="L64" s="167"/>
      <c r="M64" s="78">
        <v>2000</v>
      </c>
    </row>
    <row r="65" spans="1:14" ht="18" customHeight="1" x14ac:dyDescent="0.4">
      <c r="A65" s="66"/>
      <c r="B65" s="184" t="s">
        <v>222</v>
      </c>
      <c r="C65" s="185"/>
      <c r="D65" s="185"/>
      <c r="E65" s="185"/>
      <c r="F65" s="68">
        <v>412.12</v>
      </c>
      <c r="G65" s="66"/>
      <c r="H65" s="66"/>
      <c r="I65" s="184" t="s">
        <v>222</v>
      </c>
      <c r="J65" s="185"/>
      <c r="K65" s="185"/>
      <c r="L65" s="185"/>
      <c r="M65" s="68">
        <v>412.12</v>
      </c>
    </row>
    <row r="66" spans="1:14" ht="18" customHeight="1" x14ac:dyDescent="0.4">
      <c r="A66" s="66"/>
      <c r="B66" s="184" t="s">
        <v>106</v>
      </c>
      <c r="C66" s="185"/>
      <c r="D66" s="185"/>
      <c r="E66" s="185"/>
      <c r="F66" s="68">
        <v>101.64</v>
      </c>
      <c r="G66" s="66"/>
      <c r="H66" s="66"/>
      <c r="I66" s="184" t="s">
        <v>106</v>
      </c>
      <c r="J66" s="185"/>
      <c r="K66" s="185"/>
      <c r="L66" s="185"/>
      <c r="M66" s="68">
        <v>101.64</v>
      </c>
    </row>
    <row r="67" spans="1:14" ht="18" customHeight="1" x14ac:dyDescent="0.4">
      <c r="A67" s="66"/>
      <c r="B67" s="184" t="s">
        <v>276</v>
      </c>
      <c r="C67" s="185"/>
      <c r="D67" s="185"/>
      <c r="E67" s="185"/>
      <c r="F67" s="78">
        <v>300</v>
      </c>
      <c r="G67" s="66"/>
      <c r="H67" s="66"/>
      <c r="I67" s="184" t="s">
        <v>276</v>
      </c>
      <c r="J67" s="185"/>
      <c r="K67" s="185"/>
      <c r="L67" s="185"/>
      <c r="M67" s="78">
        <v>300</v>
      </c>
    </row>
    <row r="68" spans="1:14" ht="21.75" customHeight="1" x14ac:dyDescent="0.4">
      <c r="A68" s="66"/>
      <c r="B68" s="172" t="s">
        <v>107</v>
      </c>
      <c r="C68" s="173"/>
      <c r="D68" s="173"/>
      <c r="E68" s="173"/>
      <c r="F68" s="69"/>
      <c r="G68" s="66"/>
      <c r="H68" s="66"/>
      <c r="I68" s="172" t="s">
        <v>107</v>
      </c>
      <c r="J68" s="173"/>
      <c r="K68" s="173"/>
      <c r="L68" s="173"/>
      <c r="M68" s="69"/>
      <c r="N68" s="39"/>
    </row>
    <row r="69" spans="1:14" ht="27.75" customHeight="1" x14ac:dyDescent="0.3">
      <c r="A69" s="66"/>
      <c r="B69" s="166" t="s">
        <v>109</v>
      </c>
      <c r="C69" s="167"/>
      <c r="D69" s="167"/>
      <c r="E69" s="167"/>
      <c r="F69" s="68">
        <v>162.13999999999999</v>
      </c>
      <c r="G69" s="66"/>
      <c r="H69" s="66"/>
      <c r="I69" s="166" t="s">
        <v>109</v>
      </c>
      <c r="J69" s="167"/>
      <c r="K69" s="167"/>
      <c r="L69" s="167"/>
      <c r="M69" s="68">
        <v>162.13999999999999</v>
      </c>
      <c r="N69" s="34"/>
    </row>
    <row r="70" spans="1:14" ht="22.5" customHeight="1" x14ac:dyDescent="0.4">
      <c r="A70" s="66"/>
      <c r="B70" s="166" t="s">
        <v>249</v>
      </c>
      <c r="C70" s="167"/>
      <c r="D70" s="167"/>
      <c r="E70" s="167"/>
      <c r="F70" s="68">
        <v>0</v>
      </c>
      <c r="G70" s="66"/>
      <c r="H70" s="66"/>
      <c r="I70" s="166" t="s">
        <v>249</v>
      </c>
      <c r="J70" s="167"/>
      <c r="K70" s="167"/>
      <c r="L70" s="167"/>
      <c r="M70" s="68">
        <v>0</v>
      </c>
      <c r="N70" s="35"/>
    </row>
    <row r="71" spans="1:14" ht="30.75" customHeight="1" x14ac:dyDescent="0.4">
      <c r="A71" s="66"/>
      <c r="B71" s="166" t="s">
        <v>279</v>
      </c>
      <c r="C71" s="167"/>
      <c r="D71" s="167"/>
      <c r="E71" s="167"/>
      <c r="F71" s="68">
        <v>30.45</v>
      </c>
      <c r="G71" s="80"/>
      <c r="H71" s="66"/>
      <c r="I71" s="166" t="s">
        <v>279</v>
      </c>
      <c r="J71" s="167"/>
      <c r="K71" s="167"/>
      <c r="L71" s="167"/>
      <c r="M71" s="68">
        <v>30.45</v>
      </c>
      <c r="N71" s="36"/>
    </row>
    <row r="72" spans="1:14" ht="58.5" customHeight="1" x14ac:dyDescent="0.3">
      <c r="A72" s="66"/>
      <c r="B72" s="166" t="s">
        <v>225</v>
      </c>
      <c r="C72" s="167"/>
      <c r="D72" s="167"/>
      <c r="E72" s="167"/>
      <c r="F72" s="68">
        <v>850</v>
      </c>
      <c r="G72" s="74"/>
      <c r="H72" s="66"/>
      <c r="I72" s="166" t="s">
        <v>225</v>
      </c>
      <c r="J72" s="167"/>
      <c r="K72" s="167"/>
      <c r="L72" s="167"/>
      <c r="M72" s="68">
        <v>850</v>
      </c>
      <c r="N72" s="36"/>
    </row>
    <row r="73" spans="1:14" ht="31.5" customHeight="1" x14ac:dyDescent="0.4">
      <c r="A73" s="66"/>
      <c r="B73" s="182" t="s">
        <v>112</v>
      </c>
      <c r="C73" s="183"/>
      <c r="D73" s="183"/>
      <c r="E73" s="183"/>
      <c r="F73" s="70">
        <f>SUM(F64:F67)-SUM(F69:F72)</f>
        <v>1771.1699999999998</v>
      </c>
      <c r="G73" s="75"/>
      <c r="H73" s="66"/>
      <c r="I73" s="182" t="s">
        <v>112</v>
      </c>
      <c r="J73" s="183"/>
      <c r="K73" s="183"/>
      <c r="L73" s="183"/>
      <c r="M73" s="70">
        <f>SUM(M64:M67)-SUM(M69:M72)</f>
        <v>1771.1699999999998</v>
      </c>
      <c r="N73" s="36"/>
    </row>
    <row r="74" spans="1:14" ht="33" customHeight="1" x14ac:dyDescent="0.4">
      <c r="A74" s="66"/>
      <c r="B74" s="170" t="s">
        <v>282</v>
      </c>
      <c r="C74" s="170"/>
      <c r="D74" s="170"/>
      <c r="E74" s="170"/>
      <c r="F74" s="170"/>
      <c r="G74" s="77"/>
      <c r="H74" s="66"/>
      <c r="I74" s="170" t="s">
        <v>282</v>
      </c>
      <c r="J74" s="170"/>
      <c r="K74" s="170"/>
      <c r="L74" s="170"/>
      <c r="M74" s="170"/>
      <c r="N74" s="36"/>
    </row>
    <row r="75" spans="1:14" ht="17.100000000000001" customHeight="1" x14ac:dyDescent="0.4">
      <c r="A75" s="66"/>
      <c r="B75" s="163" t="s">
        <v>114</v>
      </c>
      <c r="C75" s="163"/>
      <c r="D75" s="163"/>
      <c r="E75" s="163"/>
      <c r="F75" s="163"/>
      <c r="G75" s="77"/>
      <c r="H75" s="66"/>
      <c r="I75" s="163" t="s">
        <v>114</v>
      </c>
      <c r="J75" s="163"/>
      <c r="K75" s="163"/>
      <c r="L75" s="163"/>
      <c r="M75" s="163"/>
      <c r="N75" s="36"/>
    </row>
    <row r="76" spans="1:14" ht="17.100000000000001" customHeight="1" x14ac:dyDescent="0.4">
      <c r="B76" s="163"/>
      <c r="C76" s="163"/>
      <c r="D76" s="163"/>
      <c r="E76" s="163"/>
      <c r="F76" s="163"/>
      <c r="G76" s="36"/>
      <c r="I76" s="163"/>
      <c r="J76" s="163"/>
      <c r="K76" s="163"/>
      <c r="L76" s="163"/>
      <c r="M76" s="163"/>
      <c r="N76" s="36"/>
    </row>
    <row r="77" spans="1:14" ht="17.100000000000001" customHeight="1" x14ac:dyDescent="0.4">
      <c r="B77" s="164" t="s">
        <v>227</v>
      </c>
      <c r="C77" s="164"/>
      <c r="D77" s="164"/>
      <c r="E77" s="164"/>
      <c r="F77" s="164"/>
      <c r="G77" s="36"/>
      <c r="I77" s="164" t="s">
        <v>227</v>
      </c>
      <c r="J77" s="164"/>
      <c r="K77" s="164"/>
      <c r="L77" s="164"/>
      <c r="M77" s="164"/>
      <c r="N77" s="36"/>
    </row>
    <row r="78" spans="1:14" ht="17.100000000000001" customHeight="1" x14ac:dyDescent="0.4">
      <c r="B78" s="36"/>
      <c r="C78" s="37"/>
      <c r="D78" s="37"/>
      <c r="E78" s="37"/>
      <c r="F78" s="37"/>
      <c r="G78" s="36"/>
      <c r="I78" s="36"/>
      <c r="J78" s="37"/>
      <c r="K78" s="37"/>
      <c r="L78" s="37"/>
      <c r="M78" s="37"/>
      <c r="N78" s="36"/>
    </row>
    <row r="79" spans="1:14" ht="47.25" customHeight="1" x14ac:dyDescent="0.4">
      <c r="B79" s="36"/>
      <c r="C79" s="37"/>
      <c r="D79" s="37"/>
      <c r="E79" s="37"/>
      <c r="F79" s="37"/>
      <c r="G79" s="36"/>
      <c r="I79" s="36"/>
      <c r="J79" s="37"/>
      <c r="K79" s="37"/>
      <c r="L79" s="37"/>
      <c r="M79" s="37"/>
    </row>
    <row r="80" spans="1:14" ht="21" customHeight="1" x14ac:dyDescent="0.4">
      <c r="B80" s="36"/>
      <c r="C80" s="37"/>
      <c r="D80" s="37"/>
      <c r="E80" s="37"/>
      <c r="F80" s="37"/>
      <c r="G80" s="36"/>
      <c r="I80" s="36"/>
      <c r="J80" s="37"/>
      <c r="K80" s="37"/>
      <c r="L80" s="37"/>
      <c r="M80" s="37"/>
      <c r="N80" s="24"/>
    </row>
    <row r="81" spans="2:16" ht="21" customHeight="1" x14ac:dyDescent="0.4">
      <c r="B81" s="36"/>
      <c r="C81" s="37"/>
      <c r="D81" s="37"/>
      <c r="E81" s="37"/>
      <c r="F81" s="37"/>
      <c r="G81" s="36"/>
      <c r="I81" s="36"/>
      <c r="J81" s="37"/>
      <c r="K81" s="37"/>
      <c r="L81" s="37"/>
      <c r="M81" s="37"/>
      <c r="N81" s="24"/>
    </row>
    <row r="82" spans="2:16" ht="21" customHeight="1" x14ac:dyDescent="0.4">
      <c r="B82" s="36"/>
      <c r="C82" s="37"/>
      <c r="D82" s="37"/>
      <c r="E82" s="37"/>
      <c r="F82" s="37"/>
      <c r="G82" s="66"/>
      <c r="H82" s="66"/>
      <c r="I82" s="77"/>
      <c r="J82" s="76"/>
      <c r="K82" s="76"/>
      <c r="L82" s="76"/>
      <c r="M82" s="76"/>
      <c r="N82" s="24"/>
    </row>
    <row r="83" spans="2:16" ht="27.75" customHeight="1" x14ac:dyDescent="0.4">
      <c r="B83" s="36"/>
      <c r="C83" s="37"/>
      <c r="D83" s="37"/>
      <c r="E83" s="37"/>
      <c r="F83" s="37"/>
      <c r="G83" s="67"/>
      <c r="H83" s="66"/>
      <c r="I83" s="180"/>
      <c r="J83" s="180"/>
      <c r="K83" s="180"/>
      <c r="L83" s="180"/>
      <c r="M83" s="180"/>
      <c r="N83" s="32"/>
    </row>
    <row r="84" spans="2:16" ht="61.5" x14ac:dyDescent="0.4">
      <c r="B84" s="180" t="s">
        <v>96</v>
      </c>
      <c r="C84" s="180"/>
      <c r="D84" s="180"/>
      <c r="E84" s="180"/>
      <c r="F84" s="180"/>
      <c r="G84" s="67"/>
      <c r="H84" s="66"/>
      <c r="I84" s="180" t="s">
        <v>96</v>
      </c>
      <c r="J84" s="180"/>
      <c r="K84" s="180"/>
      <c r="L84" s="180"/>
      <c r="M84" s="180"/>
      <c r="N84" s="32"/>
      <c r="O84" s="21"/>
    </row>
    <row r="85" spans="2:16" ht="18" customHeight="1" x14ac:dyDescent="0.4">
      <c r="B85" s="180"/>
      <c r="C85" s="180"/>
      <c r="D85" s="180"/>
      <c r="E85" s="180"/>
      <c r="F85" s="180"/>
      <c r="G85" s="67"/>
      <c r="H85" s="66"/>
      <c r="I85" s="180"/>
      <c r="J85" s="180"/>
      <c r="K85" s="180"/>
      <c r="L85" s="180"/>
      <c r="M85" s="180"/>
      <c r="P85" s="21">
        <f>M89+M90</f>
        <v>0</v>
      </c>
    </row>
    <row r="86" spans="2:16" ht="18" customHeight="1" x14ac:dyDescent="0.4">
      <c r="B86" s="181" t="s">
        <v>97</v>
      </c>
      <c r="C86" s="181"/>
      <c r="D86" s="181"/>
      <c r="E86" s="181"/>
      <c r="F86" s="181"/>
      <c r="G86" s="72"/>
      <c r="H86" s="66"/>
      <c r="I86" s="181" t="s">
        <v>97</v>
      </c>
      <c r="J86" s="181"/>
      <c r="K86" s="181"/>
      <c r="L86" s="181"/>
      <c r="M86" s="181"/>
    </row>
    <row r="87" spans="2:16" x14ac:dyDescent="0.4">
      <c r="B87" s="181" t="s">
        <v>98</v>
      </c>
      <c r="C87" s="181"/>
      <c r="D87" s="181"/>
      <c r="E87" s="181"/>
      <c r="F87" s="181"/>
      <c r="G87" s="72"/>
      <c r="H87" s="66"/>
      <c r="I87" s="181" t="s">
        <v>98</v>
      </c>
      <c r="J87" s="181"/>
      <c r="K87" s="181"/>
      <c r="L87" s="181"/>
      <c r="M87" s="181"/>
    </row>
    <row r="88" spans="2:16" ht="18" customHeight="1" x14ac:dyDescent="0.4">
      <c r="B88" s="181" t="s">
        <v>228</v>
      </c>
      <c r="C88" s="181"/>
      <c r="D88" s="181"/>
      <c r="E88" s="181"/>
      <c r="F88" s="181"/>
      <c r="G88" s="66"/>
      <c r="H88" s="66"/>
      <c r="I88" s="181" t="s">
        <v>228</v>
      </c>
      <c r="J88" s="181"/>
      <c r="K88" s="181"/>
      <c r="L88" s="181"/>
      <c r="M88" s="181"/>
    </row>
    <row r="89" spans="2:16" ht="18" customHeight="1" x14ac:dyDescent="0.4">
      <c r="B89" s="174" t="s">
        <v>100</v>
      </c>
      <c r="C89" s="175"/>
      <c r="D89" s="175"/>
      <c r="E89" s="175"/>
      <c r="F89" s="176"/>
      <c r="G89" s="66"/>
      <c r="H89" s="66"/>
      <c r="I89" s="174" t="s">
        <v>100</v>
      </c>
      <c r="J89" s="175"/>
      <c r="K89" s="175"/>
      <c r="L89" s="175"/>
      <c r="M89" s="176"/>
    </row>
    <row r="90" spans="2:16" ht="18" customHeight="1" x14ac:dyDescent="0.4">
      <c r="B90" s="177" t="s">
        <v>101</v>
      </c>
      <c r="C90" s="178"/>
      <c r="D90" s="178"/>
      <c r="E90" s="178"/>
      <c r="F90" s="179"/>
      <c r="G90" s="66"/>
      <c r="H90" s="66"/>
      <c r="I90" s="177" t="s">
        <v>101</v>
      </c>
      <c r="J90" s="178"/>
      <c r="K90" s="178"/>
      <c r="L90" s="178"/>
      <c r="M90" s="179"/>
    </row>
    <row r="91" spans="2:16" ht="24.75" customHeight="1" x14ac:dyDescent="0.4">
      <c r="B91" s="166" t="s">
        <v>280</v>
      </c>
      <c r="C91" s="167"/>
      <c r="D91" s="167"/>
      <c r="E91" s="167"/>
      <c r="F91" s="78">
        <v>1621</v>
      </c>
      <c r="G91" s="66"/>
      <c r="H91" s="66"/>
      <c r="I91" s="166" t="s">
        <v>280</v>
      </c>
      <c r="J91" s="167"/>
      <c r="K91" s="167"/>
      <c r="L91" s="167"/>
      <c r="M91" s="78">
        <v>1621</v>
      </c>
      <c r="N91" s="39"/>
    </row>
    <row r="92" spans="2:16" ht="22.5" customHeight="1" x14ac:dyDescent="0.3">
      <c r="B92" s="184" t="s">
        <v>275</v>
      </c>
      <c r="C92" s="185"/>
      <c r="D92" s="185"/>
      <c r="E92" s="185"/>
      <c r="F92" s="78">
        <v>300</v>
      </c>
      <c r="G92" s="66"/>
      <c r="H92" s="66"/>
      <c r="I92" s="184" t="s">
        <v>275</v>
      </c>
      <c r="J92" s="185"/>
      <c r="K92" s="185"/>
      <c r="L92" s="185"/>
      <c r="M92" s="78">
        <v>300</v>
      </c>
      <c r="N92" s="34"/>
    </row>
    <row r="93" spans="2:16" ht="27" customHeight="1" x14ac:dyDescent="0.4">
      <c r="B93" s="184" t="s">
        <v>106</v>
      </c>
      <c r="C93" s="185"/>
      <c r="D93" s="185"/>
      <c r="E93" s="185"/>
      <c r="F93" s="68">
        <v>52.15</v>
      </c>
      <c r="G93" s="66"/>
      <c r="H93" s="66"/>
      <c r="I93" s="184" t="s">
        <v>106</v>
      </c>
      <c r="J93" s="185"/>
      <c r="K93" s="185"/>
      <c r="L93" s="185"/>
      <c r="M93" s="68">
        <v>52.15</v>
      </c>
      <c r="N93" s="35"/>
    </row>
    <row r="94" spans="2:16" ht="17.100000000000001" customHeight="1" x14ac:dyDescent="0.4">
      <c r="B94" s="172" t="s">
        <v>107</v>
      </c>
      <c r="C94" s="173"/>
      <c r="D94" s="173"/>
      <c r="E94" s="173"/>
      <c r="F94" s="69"/>
      <c r="G94" s="80"/>
      <c r="H94" s="66"/>
      <c r="I94" s="172" t="s">
        <v>107</v>
      </c>
      <c r="J94" s="173"/>
      <c r="K94" s="173"/>
      <c r="L94" s="173"/>
      <c r="M94" s="69"/>
      <c r="N94" s="40"/>
    </row>
    <row r="95" spans="2:16" ht="47.25" customHeight="1" x14ac:dyDescent="0.3">
      <c r="B95" s="166" t="s">
        <v>225</v>
      </c>
      <c r="C95" s="167"/>
      <c r="D95" s="167"/>
      <c r="E95" s="167"/>
      <c r="F95" s="68">
        <v>500</v>
      </c>
      <c r="G95" s="74"/>
      <c r="H95" s="66"/>
      <c r="I95" s="166" t="s">
        <v>225</v>
      </c>
      <c r="J95" s="167"/>
      <c r="K95" s="167"/>
      <c r="L95" s="167"/>
      <c r="M95" s="68">
        <v>500</v>
      </c>
      <c r="N95" s="40"/>
    </row>
    <row r="96" spans="2:16" ht="17.100000000000001" customHeight="1" x14ac:dyDescent="0.4">
      <c r="B96" s="166" t="s">
        <v>109</v>
      </c>
      <c r="C96" s="167"/>
      <c r="D96" s="167"/>
      <c r="E96" s="167"/>
      <c r="F96" s="68">
        <v>126.01</v>
      </c>
      <c r="G96" s="75"/>
      <c r="H96" s="66"/>
      <c r="I96" s="166" t="s">
        <v>109</v>
      </c>
      <c r="J96" s="167"/>
      <c r="K96" s="167"/>
      <c r="L96" s="167"/>
      <c r="M96" s="68">
        <v>126.01</v>
      </c>
      <c r="N96" s="40"/>
    </row>
    <row r="97" spans="2:14" ht="29.25" customHeight="1" x14ac:dyDescent="0.4">
      <c r="B97" s="166" t="s">
        <v>267</v>
      </c>
      <c r="C97" s="167"/>
      <c r="D97" s="167"/>
      <c r="E97" s="167"/>
      <c r="F97" s="68">
        <v>2.8</v>
      </c>
      <c r="G97" s="81"/>
      <c r="H97" s="66"/>
      <c r="I97" s="166" t="s">
        <v>267</v>
      </c>
      <c r="J97" s="167"/>
      <c r="K97" s="167"/>
      <c r="L97" s="167"/>
      <c r="M97" s="68">
        <v>2.8</v>
      </c>
      <c r="N97" s="40"/>
    </row>
    <row r="98" spans="2:14" ht="31.5" customHeight="1" x14ac:dyDescent="0.4">
      <c r="B98" s="182" t="s">
        <v>112</v>
      </c>
      <c r="C98" s="183"/>
      <c r="D98" s="183"/>
      <c r="E98" s="183"/>
      <c r="F98" s="70">
        <f>SUM(F91:F93)-SUM(F95:F97)</f>
        <v>1344.3400000000001</v>
      </c>
      <c r="G98" s="81"/>
      <c r="H98" s="66"/>
      <c r="I98" s="182" t="s">
        <v>112</v>
      </c>
      <c r="J98" s="183"/>
      <c r="K98" s="183"/>
      <c r="L98" s="183"/>
      <c r="M98" s="70">
        <f>SUM(M91:M93)-SUM(M95:M97)</f>
        <v>1344.3400000000001</v>
      </c>
      <c r="N98" s="40"/>
    </row>
    <row r="99" spans="2:14" ht="35.25" customHeight="1" x14ac:dyDescent="0.4">
      <c r="B99" s="170" t="s">
        <v>283</v>
      </c>
      <c r="C99" s="170"/>
      <c r="D99" s="170"/>
      <c r="E99" s="170"/>
      <c r="F99" s="170"/>
      <c r="G99" s="40"/>
      <c r="I99" s="170" t="s">
        <v>283</v>
      </c>
      <c r="J99" s="170"/>
      <c r="K99" s="170"/>
      <c r="L99" s="170"/>
      <c r="M99" s="170"/>
      <c r="N99" s="40"/>
    </row>
    <row r="100" spans="2:14" ht="17.100000000000001" customHeight="1" x14ac:dyDescent="0.4">
      <c r="B100" s="163" t="s">
        <v>114</v>
      </c>
      <c r="C100" s="163"/>
      <c r="D100" s="163"/>
      <c r="E100" s="163"/>
      <c r="F100" s="163"/>
      <c r="G100" s="40"/>
      <c r="I100" s="163" t="s">
        <v>114</v>
      </c>
      <c r="J100" s="163"/>
      <c r="K100" s="163"/>
      <c r="L100" s="163"/>
      <c r="M100" s="163"/>
      <c r="N100" s="40"/>
    </row>
    <row r="101" spans="2:14" ht="17.100000000000001" customHeight="1" x14ac:dyDescent="0.4">
      <c r="B101" s="163"/>
      <c r="C101" s="163"/>
      <c r="D101" s="163"/>
      <c r="E101" s="163"/>
      <c r="F101" s="163"/>
      <c r="G101" s="40"/>
      <c r="I101" s="163"/>
      <c r="J101" s="163"/>
      <c r="K101" s="163"/>
      <c r="L101" s="163"/>
      <c r="M101" s="163"/>
      <c r="N101" s="40"/>
    </row>
    <row r="102" spans="2:14" ht="17.100000000000001" customHeight="1" x14ac:dyDescent="0.4">
      <c r="B102" s="164" t="s">
        <v>231</v>
      </c>
      <c r="C102" s="164"/>
      <c r="D102" s="164"/>
      <c r="E102" s="164"/>
      <c r="F102" s="164"/>
      <c r="G102" s="40"/>
      <c r="I102" s="164" t="s">
        <v>231</v>
      </c>
      <c r="J102" s="164"/>
      <c r="K102" s="164"/>
      <c r="L102" s="164"/>
      <c r="M102" s="164"/>
      <c r="N102" s="40"/>
    </row>
    <row r="103" spans="2:14" ht="17.100000000000001" customHeight="1" x14ac:dyDescent="0.4">
      <c r="B103" s="44"/>
      <c r="C103" s="44"/>
      <c r="D103" s="44"/>
      <c r="E103" s="44"/>
      <c r="F103" s="44"/>
      <c r="G103" s="40"/>
      <c r="I103" s="44"/>
      <c r="J103" s="44"/>
      <c r="K103" s="44"/>
      <c r="L103" s="44"/>
      <c r="M103" s="44"/>
      <c r="N103" s="40"/>
    </row>
    <row r="104" spans="2:14" ht="43.5" customHeight="1" x14ac:dyDescent="0.4">
      <c r="B104" s="44"/>
      <c r="C104" s="44"/>
      <c r="D104" s="44"/>
      <c r="E104" s="44"/>
      <c r="F104" s="44"/>
      <c r="G104" s="40"/>
      <c r="I104" s="44"/>
      <c r="J104" s="44"/>
      <c r="K104" s="44"/>
      <c r="L104" s="44"/>
      <c r="M104" s="44"/>
    </row>
    <row r="105" spans="2:14" ht="21" customHeight="1" x14ac:dyDescent="0.4">
      <c r="B105" s="44"/>
      <c r="C105" s="44"/>
      <c r="D105" s="44"/>
      <c r="E105" s="44"/>
      <c r="F105" s="44"/>
      <c r="G105" s="40"/>
      <c r="I105" s="44"/>
      <c r="J105" s="44"/>
      <c r="K105" s="44"/>
      <c r="L105" s="44"/>
      <c r="M105" s="44"/>
      <c r="N105" s="24"/>
    </row>
    <row r="106" spans="2:14" ht="18.75" customHeight="1" x14ac:dyDescent="0.4">
      <c r="B106" s="44"/>
      <c r="C106" s="44"/>
      <c r="D106" s="44"/>
      <c r="E106" s="44"/>
      <c r="F106" s="44"/>
      <c r="G106" s="40"/>
      <c r="I106" s="44"/>
      <c r="J106" s="44"/>
      <c r="K106" s="44"/>
      <c r="L106" s="44"/>
      <c r="M106" s="44"/>
      <c r="N106" s="24"/>
    </row>
    <row r="107" spans="2:14" ht="21" hidden="1" customHeight="1" x14ac:dyDescent="0.4">
      <c r="B107" s="44"/>
      <c r="C107" s="44"/>
      <c r="D107" s="44"/>
      <c r="E107" s="44"/>
      <c r="F107" s="44"/>
      <c r="I107" s="44"/>
      <c r="J107" s="44"/>
      <c r="K107" s="44"/>
      <c r="L107" s="44"/>
      <c r="M107" s="44"/>
      <c r="N107" s="24"/>
    </row>
    <row r="108" spans="2:14" ht="27.75" customHeight="1" x14ac:dyDescent="0.4">
      <c r="B108" s="44"/>
      <c r="C108" s="44"/>
      <c r="D108" s="44"/>
      <c r="E108" s="44"/>
      <c r="F108" s="44"/>
      <c r="G108" s="67"/>
      <c r="H108" s="66"/>
      <c r="I108" s="180"/>
      <c r="J108" s="180"/>
      <c r="K108" s="180"/>
      <c r="L108" s="180"/>
      <c r="M108" s="180"/>
      <c r="N108" s="32"/>
    </row>
    <row r="109" spans="2:14" ht="18" customHeight="1" x14ac:dyDescent="0.4">
      <c r="B109" s="44"/>
      <c r="C109" s="44"/>
      <c r="D109" s="44"/>
      <c r="E109" s="44"/>
      <c r="F109" s="44"/>
      <c r="G109" s="67"/>
      <c r="H109" s="66"/>
      <c r="I109" s="181"/>
      <c r="J109" s="181"/>
      <c r="K109" s="181"/>
      <c r="L109" s="181"/>
      <c r="M109" s="181"/>
      <c r="N109" s="32"/>
    </row>
    <row r="110" spans="2:14" ht="33" customHeight="1" thickBot="1" x14ac:dyDescent="0.45">
      <c r="B110" s="180" t="s">
        <v>96</v>
      </c>
      <c r="C110" s="180"/>
      <c r="D110" s="180"/>
      <c r="E110" s="180"/>
      <c r="F110" s="180"/>
      <c r="G110" s="67"/>
      <c r="H110" s="66"/>
      <c r="I110" s="193" t="s">
        <v>96</v>
      </c>
      <c r="J110" s="193"/>
      <c r="K110" s="193"/>
      <c r="L110" s="193"/>
      <c r="M110" s="193"/>
    </row>
    <row r="111" spans="2:14" ht="18" customHeight="1" thickTop="1" thickBot="1" x14ac:dyDescent="0.45">
      <c r="B111" s="193"/>
      <c r="C111" s="193"/>
      <c r="D111" s="193"/>
      <c r="E111" s="193"/>
      <c r="F111" s="193"/>
      <c r="G111" s="72"/>
      <c r="H111" s="66"/>
      <c r="I111" s="193"/>
      <c r="J111" s="193"/>
      <c r="K111" s="193"/>
      <c r="L111" s="193"/>
      <c r="M111" s="193"/>
    </row>
    <row r="112" spans="2:14" ht="18" customHeight="1" thickTop="1" x14ac:dyDescent="0.4">
      <c r="B112" s="180"/>
      <c r="C112" s="180"/>
      <c r="D112" s="180"/>
      <c r="E112" s="180"/>
      <c r="F112" s="180"/>
      <c r="G112" s="72"/>
      <c r="H112" s="66"/>
      <c r="I112" s="181" t="s">
        <v>97</v>
      </c>
      <c r="J112" s="181"/>
      <c r="K112" s="181"/>
      <c r="L112" s="181"/>
      <c r="M112" s="181"/>
    </row>
    <row r="113" spans="2:14" ht="18" customHeight="1" x14ac:dyDescent="0.4">
      <c r="B113" s="181" t="s">
        <v>97</v>
      </c>
      <c r="C113" s="181"/>
      <c r="D113" s="181"/>
      <c r="E113" s="181"/>
      <c r="F113" s="181"/>
      <c r="G113" s="66"/>
      <c r="H113" s="66"/>
      <c r="I113" s="181" t="s">
        <v>98</v>
      </c>
      <c r="J113" s="181"/>
      <c r="K113" s="181"/>
      <c r="L113" s="181"/>
      <c r="M113" s="181"/>
    </row>
    <row r="114" spans="2:14" ht="18" customHeight="1" x14ac:dyDescent="0.4">
      <c r="B114" s="181" t="s">
        <v>98</v>
      </c>
      <c r="C114" s="181"/>
      <c r="D114" s="181"/>
      <c r="E114" s="181"/>
      <c r="F114" s="181"/>
      <c r="G114" s="66"/>
      <c r="H114" s="66"/>
      <c r="I114" s="181" t="s">
        <v>232</v>
      </c>
      <c r="J114" s="181"/>
      <c r="K114" s="181"/>
      <c r="L114" s="181"/>
      <c r="M114" s="181"/>
    </row>
    <row r="115" spans="2:14" ht="18" customHeight="1" x14ac:dyDescent="0.4">
      <c r="B115" s="181" t="s">
        <v>232</v>
      </c>
      <c r="C115" s="181"/>
      <c r="D115" s="181"/>
      <c r="E115" s="181"/>
      <c r="F115" s="181"/>
      <c r="G115" s="66"/>
      <c r="H115" s="66"/>
      <c r="I115" s="174" t="s">
        <v>100</v>
      </c>
      <c r="J115" s="175"/>
      <c r="K115" s="175"/>
      <c r="L115" s="175"/>
      <c r="M115" s="176"/>
    </row>
    <row r="116" spans="2:14" ht="18" customHeight="1" x14ac:dyDescent="0.4">
      <c r="B116" s="174" t="s">
        <v>100</v>
      </c>
      <c r="C116" s="175"/>
      <c r="D116" s="175"/>
      <c r="E116" s="175"/>
      <c r="F116" s="176"/>
      <c r="G116" s="66"/>
      <c r="H116" s="66"/>
      <c r="I116" s="177" t="s">
        <v>101</v>
      </c>
      <c r="J116" s="178"/>
      <c r="K116" s="178"/>
      <c r="L116" s="178"/>
      <c r="M116" s="179"/>
    </row>
    <row r="117" spans="2:14" ht="18" customHeight="1" x14ac:dyDescent="0.4">
      <c r="B117" s="177" t="s">
        <v>101</v>
      </c>
      <c r="C117" s="178"/>
      <c r="D117" s="178"/>
      <c r="E117" s="178"/>
      <c r="F117" s="179"/>
      <c r="G117" s="66"/>
      <c r="H117" s="66"/>
      <c r="I117" s="166" t="s">
        <v>280</v>
      </c>
      <c r="J117" s="167"/>
      <c r="K117" s="167"/>
      <c r="L117" s="167"/>
      <c r="M117" s="68">
        <v>4000</v>
      </c>
    </row>
    <row r="118" spans="2:14" ht="18" customHeight="1" x14ac:dyDescent="0.4">
      <c r="B118" s="166" t="s">
        <v>280</v>
      </c>
      <c r="C118" s="167"/>
      <c r="D118" s="167"/>
      <c r="E118" s="167"/>
      <c r="F118" s="68">
        <v>4000</v>
      </c>
      <c r="G118" s="66"/>
      <c r="H118" s="66"/>
      <c r="I118" s="166" t="s">
        <v>146</v>
      </c>
      <c r="J118" s="167"/>
      <c r="K118" s="167"/>
      <c r="L118" s="167"/>
      <c r="M118" s="68">
        <v>706.47</v>
      </c>
    </row>
    <row r="119" spans="2:14" ht="18" customHeight="1" x14ac:dyDescent="0.4">
      <c r="B119" s="166" t="s">
        <v>146</v>
      </c>
      <c r="C119" s="167"/>
      <c r="D119" s="167"/>
      <c r="E119" s="167"/>
      <c r="F119" s="68">
        <v>706.47</v>
      </c>
      <c r="G119" s="66"/>
      <c r="H119" s="66"/>
      <c r="I119" s="166" t="s">
        <v>229</v>
      </c>
      <c r="J119" s="167"/>
      <c r="K119" s="167"/>
      <c r="L119" s="167"/>
      <c r="M119" s="68"/>
    </row>
    <row r="120" spans="2:14" ht="18" customHeight="1" x14ac:dyDescent="0.4">
      <c r="B120" s="166" t="s">
        <v>229</v>
      </c>
      <c r="C120" s="167"/>
      <c r="D120" s="167"/>
      <c r="E120" s="167"/>
      <c r="F120" s="68"/>
      <c r="G120" s="66"/>
      <c r="H120" s="66"/>
      <c r="I120" s="166"/>
      <c r="J120" s="167"/>
      <c r="K120" s="167"/>
      <c r="L120" s="167"/>
      <c r="M120" s="68"/>
    </row>
    <row r="121" spans="2:14" ht="18" customHeight="1" x14ac:dyDescent="0.4">
      <c r="B121" s="166"/>
      <c r="C121" s="167"/>
      <c r="D121" s="167"/>
      <c r="E121" s="167"/>
      <c r="F121" s="68"/>
      <c r="G121" s="66"/>
      <c r="H121" s="66"/>
      <c r="I121" s="166" t="s">
        <v>287</v>
      </c>
      <c r="J121" s="167"/>
      <c r="K121" s="167"/>
      <c r="L121" s="167"/>
      <c r="M121" s="68">
        <v>372.72</v>
      </c>
    </row>
    <row r="122" spans="2:14" ht="20.25" customHeight="1" x14ac:dyDescent="0.4">
      <c r="B122" s="166" t="s">
        <v>287</v>
      </c>
      <c r="C122" s="167"/>
      <c r="D122" s="167"/>
      <c r="E122" s="167"/>
      <c r="F122" s="68">
        <v>372.72</v>
      </c>
      <c r="G122" s="66"/>
      <c r="H122" s="66"/>
      <c r="I122" s="172" t="s">
        <v>107</v>
      </c>
      <c r="J122" s="173"/>
      <c r="K122" s="173"/>
      <c r="L122" s="173"/>
      <c r="M122" s="69"/>
      <c r="N122" s="39"/>
    </row>
    <row r="123" spans="2:14" ht="19.5" customHeight="1" x14ac:dyDescent="0.3">
      <c r="B123" s="172" t="s">
        <v>107</v>
      </c>
      <c r="C123" s="173"/>
      <c r="D123" s="173"/>
      <c r="E123" s="173"/>
      <c r="F123" s="69"/>
      <c r="G123" s="66"/>
      <c r="H123" s="66"/>
      <c r="I123" s="166" t="s">
        <v>179</v>
      </c>
      <c r="J123" s="167"/>
      <c r="K123" s="167"/>
      <c r="L123" s="167"/>
      <c r="M123" s="68">
        <v>246.63</v>
      </c>
      <c r="N123" s="34"/>
    </row>
    <row r="124" spans="2:14" ht="18" customHeight="1" x14ac:dyDescent="0.4">
      <c r="B124" s="166" t="s">
        <v>179</v>
      </c>
      <c r="C124" s="167"/>
      <c r="D124" s="167"/>
      <c r="E124" s="167"/>
      <c r="F124" s="68">
        <v>246.63</v>
      </c>
      <c r="G124" s="66"/>
      <c r="H124" s="66"/>
      <c r="I124" s="166" t="s">
        <v>286</v>
      </c>
      <c r="J124" s="167"/>
      <c r="K124" s="167"/>
      <c r="L124" s="167"/>
      <c r="M124" s="68">
        <v>54.54</v>
      </c>
      <c r="N124" s="35"/>
    </row>
    <row r="125" spans="2:14" ht="18" customHeight="1" x14ac:dyDescent="0.4">
      <c r="B125" s="166" t="s">
        <v>286</v>
      </c>
      <c r="C125" s="167"/>
      <c r="D125" s="167"/>
      <c r="E125" s="167"/>
      <c r="F125" s="68">
        <v>54.54</v>
      </c>
      <c r="G125" s="66"/>
      <c r="H125" s="66"/>
      <c r="I125" s="166" t="s">
        <v>284</v>
      </c>
      <c r="J125" s="167"/>
      <c r="K125" s="167"/>
      <c r="L125" s="167"/>
      <c r="M125" s="68">
        <v>383.33</v>
      </c>
      <c r="N125" s="33"/>
    </row>
    <row r="126" spans="2:14" ht="17.100000000000001" customHeight="1" x14ac:dyDescent="0.4">
      <c r="B126" s="166" t="s">
        <v>284</v>
      </c>
      <c r="C126" s="167"/>
      <c r="D126" s="167"/>
      <c r="E126" s="167"/>
      <c r="F126" s="68">
        <v>383.33</v>
      </c>
      <c r="G126" s="80"/>
      <c r="H126" s="66"/>
      <c r="I126" s="166" t="s">
        <v>235</v>
      </c>
      <c r="J126" s="167"/>
      <c r="K126" s="167"/>
      <c r="L126" s="167"/>
      <c r="M126" s="68">
        <v>206.7</v>
      </c>
      <c r="N126" s="40"/>
    </row>
    <row r="127" spans="2:14" ht="38.25" customHeight="1" x14ac:dyDescent="0.3">
      <c r="B127" s="166" t="s">
        <v>235</v>
      </c>
      <c r="C127" s="167"/>
      <c r="D127" s="167"/>
      <c r="E127" s="167"/>
      <c r="F127" s="68">
        <v>206.7</v>
      </c>
      <c r="G127" s="74"/>
      <c r="H127" s="66"/>
      <c r="I127" s="166" t="s">
        <v>285</v>
      </c>
      <c r="J127" s="167"/>
      <c r="K127" s="167"/>
      <c r="L127" s="167"/>
      <c r="M127" s="68">
        <v>125.89</v>
      </c>
      <c r="N127" s="40"/>
    </row>
    <row r="128" spans="2:14" ht="12.75" customHeight="1" x14ac:dyDescent="0.4">
      <c r="B128" s="166" t="s">
        <v>285</v>
      </c>
      <c r="C128" s="167"/>
      <c r="D128" s="167"/>
      <c r="E128" s="167"/>
      <c r="F128" s="68">
        <v>125.89</v>
      </c>
      <c r="G128" s="75"/>
      <c r="H128" s="66"/>
      <c r="I128" s="166" t="s">
        <v>237</v>
      </c>
      <c r="J128" s="167"/>
      <c r="K128" s="167"/>
      <c r="L128" s="167"/>
      <c r="M128" s="68">
        <v>2000</v>
      </c>
      <c r="N128" s="40"/>
    </row>
    <row r="129" spans="2:14" ht="36" customHeight="1" x14ac:dyDescent="0.4">
      <c r="B129" s="166" t="s">
        <v>237</v>
      </c>
      <c r="C129" s="167"/>
      <c r="D129" s="167"/>
      <c r="E129" s="167"/>
      <c r="F129" s="68">
        <v>2000</v>
      </c>
      <c r="G129" s="81"/>
      <c r="H129" s="66"/>
      <c r="I129" s="168" t="s">
        <v>112</v>
      </c>
      <c r="J129" s="169"/>
      <c r="K129" s="169"/>
      <c r="L129" s="169"/>
      <c r="M129" s="70">
        <f>SUM(M117:M121)-SUM(M123:M128)</f>
        <v>2062.1000000000004</v>
      </c>
      <c r="N129" s="40"/>
    </row>
    <row r="130" spans="2:14" ht="33.75" customHeight="1" x14ac:dyDescent="0.4">
      <c r="B130" s="168" t="s">
        <v>112</v>
      </c>
      <c r="C130" s="169"/>
      <c r="D130" s="169"/>
      <c r="E130" s="169"/>
      <c r="F130" s="70">
        <f>SUM(F118:F122)-SUM(F124:F129)</f>
        <v>2062.1000000000004</v>
      </c>
      <c r="G130" s="81"/>
      <c r="H130" s="66"/>
      <c r="I130" s="170" t="s">
        <v>289</v>
      </c>
      <c r="J130" s="170"/>
      <c r="K130" s="170"/>
      <c r="L130" s="170"/>
      <c r="M130" s="170"/>
      <c r="N130" s="40"/>
    </row>
    <row r="131" spans="2:14" ht="32.25" customHeight="1" x14ac:dyDescent="0.4">
      <c r="B131" s="170" t="s">
        <v>288</v>
      </c>
      <c r="C131" s="170"/>
      <c r="D131" s="170"/>
      <c r="E131" s="170"/>
      <c r="F131" s="170"/>
      <c r="G131" s="40"/>
      <c r="I131" s="163" t="s">
        <v>114</v>
      </c>
      <c r="J131" s="163"/>
      <c r="K131" s="163"/>
      <c r="L131" s="163"/>
      <c r="M131" s="163"/>
      <c r="N131" s="40"/>
    </row>
    <row r="132" spans="2:14" ht="17.100000000000001" customHeight="1" x14ac:dyDescent="0.4">
      <c r="B132" s="163" t="s">
        <v>114</v>
      </c>
      <c r="C132" s="163"/>
      <c r="D132" s="163"/>
      <c r="E132" s="163"/>
      <c r="F132" s="163"/>
      <c r="G132" s="40"/>
      <c r="I132" s="163"/>
      <c r="J132" s="163"/>
      <c r="K132" s="163"/>
      <c r="L132" s="163"/>
      <c r="M132" s="163"/>
      <c r="N132" s="40"/>
    </row>
    <row r="133" spans="2:14" ht="17.100000000000001" customHeight="1" x14ac:dyDescent="0.4">
      <c r="B133" s="163"/>
      <c r="C133" s="163"/>
      <c r="D133" s="163"/>
      <c r="E133" s="163"/>
      <c r="F133" s="163"/>
      <c r="G133" s="40"/>
      <c r="I133" s="164" t="s">
        <v>239</v>
      </c>
      <c r="J133" s="164"/>
      <c r="K133" s="164"/>
      <c r="L133" s="164"/>
      <c r="M133" s="164"/>
      <c r="N133" s="40"/>
    </row>
    <row r="134" spans="2:14" ht="17.100000000000001" customHeight="1" x14ac:dyDescent="0.4">
      <c r="B134" s="164" t="s">
        <v>239</v>
      </c>
      <c r="C134" s="164"/>
      <c r="D134" s="164"/>
      <c r="E134" s="164"/>
      <c r="F134" s="164"/>
      <c r="G134" s="40"/>
      <c r="I134" s="40"/>
      <c r="J134" s="37"/>
      <c r="K134" s="37"/>
      <c r="L134" s="37"/>
      <c r="M134" s="37"/>
      <c r="N134" s="40"/>
    </row>
    <row r="135" spans="2:14" ht="47.25" customHeight="1" x14ac:dyDescent="0.4">
      <c r="B135" s="40"/>
      <c r="C135" s="37"/>
      <c r="D135" s="37"/>
      <c r="E135" s="37"/>
      <c r="F135" s="37"/>
      <c r="G135" s="40"/>
      <c r="I135" s="40"/>
      <c r="J135" s="37"/>
      <c r="K135" s="37"/>
      <c r="L135" s="37"/>
      <c r="M135" s="37"/>
    </row>
    <row r="136" spans="2:14" ht="21" customHeight="1" x14ac:dyDescent="0.4">
      <c r="B136" s="40"/>
      <c r="C136" s="37"/>
      <c r="D136" s="37"/>
      <c r="E136" s="37"/>
      <c r="F136" s="37"/>
      <c r="G136" s="40"/>
      <c r="I136" s="40"/>
      <c r="J136" s="37"/>
      <c r="K136" s="37"/>
      <c r="L136" s="37"/>
      <c r="M136" s="37"/>
      <c r="N136" s="24"/>
    </row>
    <row r="137" spans="2:14" ht="21" customHeight="1" x14ac:dyDescent="0.4">
      <c r="B137" s="40"/>
      <c r="C137" s="37"/>
      <c r="D137" s="37"/>
      <c r="E137" s="37"/>
      <c r="F137" s="37"/>
      <c r="G137" s="40"/>
      <c r="I137" s="40"/>
      <c r="J137" s="37"/>
      <c r="K137" s="37"/>
      <c r="L137" s="37"/>
      <c r="M137" s="37"/>
      <c r="N137" s="24"/>
    </row>
    <row r="138" spans="2:14" ht="21" customHeight="1" x14ac:dyDescent="0.4">
      <c r="B138" s="40"/>
      <c r="C138" s="37"/>
      <c r="D138" s="37"/>
      <c r="E138" s="37"/>
      <c r="F138" s="37"/>
      <c r="I138" s="40"/>
      <c r="J138" s="37"/>
      <c r="K138" s="37"/>
      <c r="L138" s="37"/>
      <c r="M138" s="37"/>
      <c r="N138" s="24"/>
    </row>
    <row r="139" spans="2:14" ht="18" customHeight="1" x14ac:dyDescent="0.4">
      <c r="B139" s="40"/>
      <c r="C139" s="37"/>
      <c r="D139" s="37"/>
      <c r="E139" s="37"/>
      <c r="F139" s="37"/>
      <c r="G139" s="24"/>
      <c r="I139" s="102"/>
      <c r="J139" s="102"/>
      <c r="K139" s="102"/>
      <c r="L139" s="102"/>
      <c r="M139" s="102"/>
      <c r="N139" s="32"/>
    </row>
    <row r="140" spans="2:14" ht="18" customHeight="1" x14ac:dyDescent="0.4">
      <c r="B140" s="40"/>
      <c r="C140" s="37"/>
      <c r="D140" s="37"/>
      <c r="E140" s="37"/>
      <c r="F140" s="37"/>
      <c r="G140" s="24"/>
      <c r="I140" s="110"/>
      <c r="J140" s="110"/>
      <c r="K140" s="110"/>
      <c r="L140" s="110"/>
      <c r="M140" s="110"/>
      <c r="N140" s="32"/>
    </row>
    <row r="141" spans="2:14" ht="18" customHeight="1" x14ac:dyDescent="0.4">
      <c r="B141" s="40"/>
      <c r="C141" s="37"/>
      <c r="D141" s="37"/>
      <c r="E141" s="37"/>
      <c r="F141" s="37"/>
      <c r="G141" s="24"/>
      <c r="I141" s="110"/>
      <c r="J141" s="110"/>
      <c r="K141" s="110"/>
      <c r="L141" s="110"/>
      <c r="M141" s="110"/>
    </row>
    <row r="142" spans="2:14" ht="18" customHeight="1" x14ac:dyDescent="0.4">
      <c r="B142" s="40"/>
      <c r="C142" s="37"/>
      <c r="D142" s="37"/>
      <c r="E142" s="37"/>
      <c r="F142" s="37"/>
      <c r="G142" s="32"/>
      <c r="I142" s="110"/>
      <c r="J142" s="110"/>
      <c r="K142" s="110"/>
      <c r="L142" s="110"/>
      <c r="M142" s="110"/>
    </row>
    <row r="143" spans="2:14" ht="61.5" x14ac:dyDescent="0.4">
      <c r="B143" s="102"/>
      <c r="C143" s="102"/>
      <c r="D143" s="102"/>
      <c r="E143" s="102"/>
      <c r="F143" s="102"/>
      <c r="G143" s="32"/>
      <c r="I143" s="114"/>
      <c r="J143" s="115"/>
      <c r="K143" s="115"/>
      <c r="L143" s="115"/>
      <c r="M143" s="116"/>
    </row>
    <row r="144" spans="2:14" ht="18" customHeight="1" x14ac:dyDescent="0.4">
      <c r="B144" s="110"/>
      <c r="C144" s="110"/>
      <c r="D144" s="110"/>
      <c r="E144" s="110"/>
      <c r="F144" s="110"/>
      <c r="I144" s="111"/>
      <c r="J144" s="112"/>
      <c r="K144" s="112"/>
      <c r="L144" s="112"/>
      <c r="M144" s="113"/>
    </row>
    <row r="145" spans="2:14" ht="18" customHeight="1" x14ac:dyDescent="0.4">
      <c r="B145" s="110"/>
      <c r="C145" s="110"/>
      <c r="D145" s="110"/>
      <c r="E145" s="110"/>
      <c r="F145" s="110"/>
      <c r="I145" s="97"/>
      <c r="J145" s="98"/>
      <c r="K145" s="98"/>
      <c r="L145" s="98"/>
      <c r="M145" s="26"/>
    </row>
    <row r="146" spans="2:14" ht="18" customHeight="1" x14ac:dyDescent="0.4">
      <c r="B146" s="110"/>
      <c r="C146" s="110"/>
      <c r="D146" s="110"/>
      <c r="E146" s="110"/>
      <c r="F146" s="110"/>
      <c r="I146" s="97"/>
      <c r="J146" s="98"/>
      <c r="K146" s="98"/>
      <c r="L146" s="98"/>
      <c r="M146" s="26"/>
    </row>
    <row r="147" spans="2:14" ht="18" customHeight="1" x14ac:dyDescent="0.25">
      <c r="B147" s="131"/>
      <c r="C147" s="132"/>
      <c r="D147" s="132"/>
      <c r="E147" s="132"/>
      <c r="F147" s="133"/>
      <c r="I147" s="97"/>
      <c r="J147" s="98"/>
      <c r="K147" s="98"/>
      <c r="L147" s="98"/>
      <c r="M147" s="26"/>
    </row>
    <row r="148" spans="2:14" ht="18" customHeight="1" x14ac:dyDescent="0.25">
      <c r="B148" s="134"/>
      <c r="C148" s="135"/>
      <c r="D148" s="135"/>
      <c r="E148" s="135"/>
      <c r="F148" s="136"/>
      <c r="I148" s="99"/>
      <c r="J148" s="100"/>
      <c r="K148" s="100"/>
      <c r="L148" s="100"/>
      <c r="M148" s="29"/>
    </row>
    <row r="149" spans="2:14" ht="18" customHeight="1" x14ac:dyDescent="0.3">
      <c r="B149" s="125"/>
      <c r="C149" s="126"/>
      <c r="D149" s="126"/>
      <c r="E149" s="126"/>
      <c r="F149" s="63"/>
      <c r="I149" s="97"/>
      <c r="J149" s="98"/>
      <c r="K149" s="98"/>
      <c r="L149" s="98"/>
      <c r="M149" s="26"/>
    </row>
    <row r="150" spans="2:14" ht="45" customHeight="1" x14ac:dyDescent="0.3">
      <c r="B150" s="125"/>
      <c r="C150" s="126"/>
      <c r="D150" s="126"/>
      <c r="E150" s="126"/>
      <c r="F150" s="63"/>
      <c r="I150" s="97"/>
      <c r="J150" s="98"/>
      <c r="K150" s="98"/>
      <c r="L150" s="98"/>
      <c r="M150" s="26"/>
      <c r="N150" s="39"/>
    </row>
    <row r="151" spans="2:14" ht="22.5" customHeight="1" x14ac:dyDescent="0.3">
      <c r="B151" s="125"/>
      <c r="C151" s="126"/>
      <c r="D151" s="126"/>
      <c r="E151" s="126"/>
      <c r="F151" s="63"/>
      <c r="I151" s="97"/>
      <c r="J151" s="98"/>
      <c r="K151" s="98"/>
      <c r="L151" s="98"/>
      <c r="M151" s="26"/>
      <c r="N151" s="34"/>
    </row>
    <row r="152" spans="2:14" ht="27" customHeight="1" x14ac:dyDescent="0.25">
      <c r="B152" s="129"/>
      <c r="C152" s="130"/>
      <c r="D152" s="130"/>
      <c r="E152" s="130"/>
      <c r="F152" s="64"/>
      <c r="I152" s="97"/>
      <c r="J152" s="98"/>
      <c r="K152" s="98"/>
      <c r="L152" s="98"/>
      <c r="M152" s="26"/>
      <c r="N152" s="35"/>
    </row>
    <row r="153" spans="2:14" ht="17.100000000000001" customHeight="1" x14ac:dyDescent="0.3">
      <c r="B153" s="125"/>
      <c r="C153" s="126"/>
      <c r="D153" s="126"/>
      <c r="E153" s="126"/>
      <c r="F153" s="63"/>
      <c r="G153" s="38"/>
      <c r="I153" s="104"/>
      <c r="J153" s="105"/>
      <c r="K153" s="105"/>
      <c r="L153" s="105"/>
      <c r="M153" s="30"/>
      <c r="N153" s="40"/>
    </row>
    <row r="154" spans="2:14" x14ac:dyDescent="0.3">
      <c r="B154" s="125"/>
      <c r="C154" s="126"/>
      <c r="D154" s="126"/>
      <c r="E154" s="126"/>
      <c r="F154" s="63"/>
      <c r="G154" s="34"/>
      <c r="I154" s="103"/>
      <c r="J154" s="103"/>
      <c r="K154" s="103"/>
      <c r="L154" s="103"/>
      <c r="M154" s="103"/>
    </row>
    <row r="155" spans="2:14" x14ac:dyDescent="0.3">
      <c r="B155" s="125"/>
      <c r="C155" s="126"/>
      <c r="D155" s="126"/>
      <c r="E155" s="126"/>
      <c r="F155" s="63"/>
      <c r="G155" s="35"/>
      <c r="I155" s="34"/>
      <c r="J155" s="34"/>
      <c r="K155" s="34"/>
      <c r="L155" s="34"/>
      <c r="M155" s="34"/>
    </row>
    <row r="156" spans="2:14" ht="19.5" x14ac:dyDescent="0.3">
      <c r="B156" s="125"/>
      <c r="C156" s="126"/>
      <c r="D156" s="126"/>
      <c r="E156" s="126"/>
      <c r="F156" s="63"/>
      <c r="G156" s="40"/>
      <c r="I156" s="33"/>
      <c r="J156" s="35"/>
      <c r="K156" s="35"/>
      <c r="L156" s="35"/>
      <c r="M156" s="35"/>
    </row>
    <row r="157" spans="2:14" ht="19.5" x14ac:dyDescent="0.2">
      <c r="B157" s="127"/>
      <c r="C157" s="128"/>
      <c r="D157" s="128"/>
      <c r="E157" s="128"/>
      <c r="F157" s="65"/>
      <c r="I157" s="40"/>
      <c r="J157" s="108"/>
      <c r="K157" s="108"/>
      <c r="L157" s="108"/>
      <c r="M157" s="108"/>
    </row>
    <row r="158" spans="2:14" x14ac:dyDescent="0.4">
      <c r="B158" s="103"/>
      <c r="C158" s="103"/>
      <c r="D158" s="103"/>
      <c r="E158" s="103"/>
      <c r="F158" s="103"/>
    </row>
    <row r="159" spans="2:14" x14ac:dyDescent="0.3">
      <c r="B159" s="34"/>
      <c r="C159" s="34"/>
      <c r="D159" s="34"/>
      <c r="E159" s="34"/>
      <c r="F159" s="34"/>
    </row>
    <row r="160" spans="2:14" x14ac:dyDescent="0.4">
      <c r="B160" s="33"/>
      <c r="C160" s="35"/>
      <c r="D160" s="35"/>
      <c r="E160" s="35"/>
      <c r="F160" s="35"/>
    </row>
    <row r="161" spans="2:6" ht="19.5" x14ac:dyDescent="0.4">
      <c r="B161" s="40"/>
      <c r="C161" s="108"/>
      <c r="D161" s="108"/>
      <c r="E161" s="108"/>
      <c r="F161" s="108"/>
    </row>
  </sheetData>
  <mergeCells count="235">
    <mergeCell ref="B158:F158"/>
    <mergeCell ref="C161:F161"/>
    <mergeCell ref="B110:F111"/>
    <mergeCell ref="I110:M111"/>
    <mergeCell ref="B125:E125"/>
    <mergeCell ref="I125:L125"/>
    <mergeCell ref="B154:E154"/>
    <mergeCell ref="I154:M154"/>
    <mergeCell ref="B155:E155"/>
    <mergeCell ref="B156:E156"/>
    <mergeCell ref="B157:E157"/>
    <mergeCell ref="J157:M157"/>
    <mergeCell ref="B151:E151"/>
    <mergeCell ref="I151:L151"/>
    <mergeCell ref="B152:E152"/>
    <mergeCell ref="I152:L152"/>
    <mergeCell ref="B153:E153"/>
    <mergeCell ref="I153:L153"/>
    <mergeCell ref="B148:F148"/>
    <mergeCell ref="I148:L148"/>
    <mergeCell ref="B149:E149"/>
    <mergeCell ref="I149:L149"/>
    <mergeCell ref="B150:E150"/>
    <mergeCell ref="I150:L150"/>
    <mergeCell ref="B145:F145"/>
    <mergeCell ref="I145:L145"/>
    <mergeCell ref="B146:F146"/>
    <mergeCell ref="I146:L146"/>
    <mergeCell ref="B147:F147"/>
    <mergeCell ref="I147:L147"/>
    <mergeCell ref="I140:M140"/>
    <mergeCell ref="I141:M141"/>
    <mergeCell ref="I142:M142"/>
    <mergeCell ref="B143:F143"/>
    <mergeCell ref="I143:M143"/>
    <mergeCell ref="B144:F144"/>
    <mergeCell ref="I144:M144"/>
    <mergeCell ref="B131:F131"/>
    <mergeCell ref="I131:M132"/>
    <mergeCell ref="B132:F133"/>
    <mergeCell ref="I133:M133"/>
    <mergeCell ref="B134:F134"/>
    <mergeCell ref="I139:M139"/>
    <mergeCell ref="B128:E128"/>
    <mergeCell ref="I128:L128"/>
    <mergeCell ref="B129:E129"/>
    <mergeCell ref="I129:L129"/>
    <mergeCell ref="B130:E130"/>
    <mergeCell ref="I130:M130"/>
    <mergeCell ref="B124:E124"/>
    <mergeCell ref="I124:L124"/>
    <mergeCell ref="B126:E126"/>
    <mergeCell ref="I126:L126"/>
    <mergeCell ref="B127:E127"/>
    <mergeCell ref="I127:L127"/>
    <mergeCell ref="B121:E121"/>
    <mergeCell ref="I121:L121"/>
    <mergeCell ref="B122:E122"/>
    <mergeCell ref="I122:L122"/>
    <mergeCell ref="B123:E123"/>
    <mergeCell ref="I123:L123"/>
    <mergeCell ref="B118:E118"/>
    <mergeCell ref="I118:L118"/>
    <mergeCell ref="B119:E119"/>
    <mergeCell ref="I119:L119"/>
    <mergeCell ref="B120:E120"/>
    <mergeCell ref="I120:L120"/>
    <mergeCell ref="B115:F115"/>
    <mergeCell ref="I115:M115"/>
    <mergeCell ref="B116:F116"/>
    <mergeCell ref="I116:M116"/>
    <mergeCell ref="B117:F117"/>
    <mergeCell ref="I117:L117"/>
    <mergeCell ref="B112:F112"/>
    <mergeCell ref="I112:M112"/>
    <mergeCell ref="B113:F113"/>
    <mergeCell ref="I113:M113"/>
    <mergeCell ref="B114:F114"/>
    <mergeCell ref="I114:M114"/>
    <mergeCell ref="B102:F102"/>
    <mergeCell ref="I102:M102"/>
    <mergeCell ref="I108:M108"/>
    <mergeCell ref="I109:M109"/>
    <mergeCell ref="B98:E98"/>
    <mergeCell ref="I98:L98"/>
    <mergeCell ref="B99:F99"/>
    <mergeCell ref="I99:M99"/>
    <mergeCell ref="B100:F101"/>
    <mergeCell ref="I100:M101"/>
    <mergeCell ref="B95:E95"/>
    <mergeCell ref="I95:L95"/>
    <mergeCell ref="B96:E96"/>
    <mergeCell ref="I96:L96"/>
    <mergeCell ref="B97:E97"/>
    <mergeCell ref="I97:L97"/>
    <mergeCell ref="B92:E92"/>
    <mergeCell ref="I92:L92"/>
    <mergeCell ref="B93:E93"/>
    <mergeCell ref="I93:L93"/>
    <mergeCell ref="B94:E94"/>
    <mergeCell ref="I94:L94"/>
    <mergeCell ref="B89:F89"/>
    <mergeCell ref="I89:M89"/>
    <mergeCell ref="B90:F90"/>
    <mergeCell ref="I90:M90"/>
    <mergeCell ref="B91:E91"/>
    <mergeCell ref="I91:L91"/>
    <mergeCell ref="B86:F86"/>
    <mergeCell ref="I86:M86"/>
    <mergeCell ref="B87:F87"/>
    <mergeCell ref="I87:M87"/>
    <mergeCell ref="B88:F88"/>
    <mergeCell ref="I88:M88"/>
    <mergeCell ref="B77:F77"/>
    <mergeCell ref="I77:M77"/>
    <mergeCell ref="I83:M83"/>
    <mergeCell ref="B84:F84"/>
    <mergeCell ref="I84:M84"/>
    <mergeCell ref="B85:F85"/>
    <mergeCell ref="I85:M85"/>
    <mergeCell ref="B73:E73"/>
    <mergeCell ref="I73:L73"/>
    <mergeCell ref="B74:F74"/>
    <mergeCell ref="I74:M74"/>
    <mergeCell ref="B75:F76"/>
    <mergeCell ref="I75:M76"/>
    <mergeCell ref="B70:E70"/>
    <mergeCell ref="I70:L70"/>
    <mergeCell ref="B71:E71"/>
    <mergeCell ref="I71:L71"/>
    <mergeCell ref="B72:E72"/>
    <mergeCell ref="I72:L72"/>
    <mergeCell ref="B67:E67"/>
    <mergeCell ref="I67:L67"/>
    <mergeCell ref="B68:E68"/>
    <mergeCell ref="I68:L68"/>
    <mergeCell ref="B69:E69"/>
    <mergeCell ref="I69:L69"/>
    <mergeCell ref="B64:E64"/>
    <mergeCell ref="I64:L64"/>
    <mergeCell ref="B65:E65"/>
    <mergeCell ref="I65:L65"/>
    <mergeCell ref="B66:E66"/>
    <mergeCell ref="I66:L66"/>
    <mergeCell ref="B61:F61"/>
    <mergeCell ref="I61:M61"/>
    <mergeCell ref="B62:F62"/>
    <mergeCell ref="I62:M62"/>
    <mergeCell ref="B63:F63"/>
    <mergeCell ref="I63:M63"/>
    <mergeCell ref="B58:F58"/>
    <mergeCell ref="I58:M58"/>
    <mergeCell ref="B59:F59"/>
    <mergeCell ref="I59:M59"/>
    <mergeCell ref="B60:F60"/>
    <mergeCell ref="I60:M60"/>
    <mergeCell ref="B45:F45"/>
    <mergeCell ref="I45:M45"/>
    <mergeCell ref="B46:F46"/>
    <mergeCell ref="I46:M46"/>
    <mergeCell ref="B47:F47"/>
    <mergeCell ref="B57:F57"/>
    <mergeCell ref="I57:M57"/>
    <mergeCell ref="B42:E42"/>
    <mergeCell ref="I42:L42"/>
    <mergeCell ref="B43:E43"/>
    <mergeCell ref="I43:M43"/>
    <mergeCell ref="B44:F44"/>
    <mergeCell ref="I44:M44"/>
    <mergeCell ref="B39:E39"/>
    <mergeCell ref="I39:L39"/>
    <mergeCell ref="B40:E40"/>
    <mergeCell ref="I40:L40"/>
    <mergeCell ref="B41:E41"/>
    <mergeCell ref="I41:L41"/>
    <mergeCell ref="B36:E36"/>
    <mergeCell ref="I36:L36"/>
    <mergeCell ref="B37:E37"/>
    <mergeCell ref="I37:L37"/>
    <mergeCell ref="B38:E38"/>
    <mergeCell ref="I38:L38"/>
    <mergeCell ref="B33:F33"/>
    <mergeCell ref="I33:L33"/>
    <mergeCell ref="B34:E34"/>
    <mergeCell ref="I34:L34"/>
    <mergeCell ref="B35:E35"/>
    <mergeCell ref="I35:L35"/>
    <mergeCell ref="B30:F30"/>
    <mergeCell ref="I30:M30"/>
    <mergeCell ref="B31:F31"/>
    <mergeCell ref="I31:M31"/>
    <mergeCell ref="B32:F32"/>
    <mergeCell ref="I32:M32"/>
    <mergeCell ref="B20:F20"/>
    <mergeCell ref="I20:M20"/>
    <mergeCell ref="I27:M27"/>
    <mergeCell ref="I28:M28"/>
    <mergeCell ref="I29:M29"/>
    <mergeCell ref="B27:F28"/>
    <mergeCell ref="B16:E16"/>
    <mergeCell ref="I16:L16"/>
    <mergeCell ref="B17:F17"/>
    <mergeCell ref="I17:M17"/>
    <mergeCell ref="B18:F18"/>
    <mergeCell ref="I18:M18"/>
    <mergeCell ref="B13:E13"/>
    <mergeCell ref="I13:L13"/>
    <mergeCell ref="B14:E14"/>
    <mergeCell ref="I14:L14"/>
    <mergeCell ref="B15:E15"/>
    <mergeCell ref="I15:L15"/>
    <mergeCell ref="B10:E10"/>
    <mergeCell ref="I10:L10"/>
    <mergeCell ref="B11:E11"/>
    <mergeCell ref="I11:L11"/>
    <mergeCell ref="B12:E12"/>
    <mergeCell ref="I12:L12"/>
    <mergeCell ref="B7:E7"/>
    <mergeCell ref="I7:L7"/>
    <mergeCell ref="B8:E8"/>
    <mergeCell ref="I8:L8"/>
    <mergeCell ref="B9:E9"/>
    <mergeCell ref="I9:L9"/>
    <mergeCell ref="B4:F4"/>
    <mergeCell ref="I4:M4"/>
    <mergeCell ref="B5:F5"/>
    <mergeCell ref="I5:M5"/>
    <mergeCell ref="B6:F6"/>
    <mergeCell ref="I6:M6"/>
    <mergeCell ref="B1:F1"/>
    <mergeCell ref="I1:M1"/>
    <mergeCell ref="B2:F2"/>
    <mergeCell ref="I2:M2"/>
    <mergeCell ref="B3:F3"/>
    <mergeCell ref="I3:M3"/>
  </mergeCells>
  <dataValidations count="1">
    <dataValidation allowBlank="1" showInputMessage="1" showErrorMessage="1" prompt="O título da planilha está nesta célula. Insira o nome do cartão de crédito para atualizar o título" sqref="B1 B84:B85 I108 I83:I85 B27 B57:B58 B143 I27 I139 I1 B112 I57:I58 B110 I110" xr:uid="{0D3EC29F-942D-4C41-8758-38524A1EA60E}"/>
  </dataValidations>
  <printOptions horizontalCentered="1"/>
  <pageMargins left="0" right="0" top="0" bottom="0" header="0" footer="0"/>
  <pageSetup paperSize="9" fitToHeight="0" orientation="landscape" horizontalDpi="4294967293" r:id="rId1"/>
  <headerFooter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TM04035471</Templat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17</vt:i4>
      </vt:variant>
      <vt:variant>
        <vt:lpstr>Intervalos Nomeados</vt:lpstr>
      </vt:variant>
      <vt:variant>
        <vt:i4>18</vt:i4>
      </vt:variant>
    </vt:vector>
  </HeadingPairs>
  <TitlesOfParts>
    <vt:vector size="35" baseType="lpstr">
      <vt:lpstr>Registro do cartão de crédito</vt:lpstr>
      <vt:lpstr>Registro do cartão de crédi (2)</vt:lpstr>
      <vt:lpstr>2020</vt:lpstr>
      <vt:lpstr>2021</vt:lpstr>
      <vt:lpstr>2022</vt:lpstr>
      <vt:lpstr>2020 - DECIMO TERCEIRO</vt:lpstr>
      <vt:lpstr>2021 - DECIMO TERCEIRO </vt:lpstr>
      <vt:lpstr>CRONOGRAMA FÉRIAS</vt:lpstr>
      <vt:lpstr>COLABORADORES (2)</vt:lpstr>
      <vt:lpstr>RESCISÃO (2)</vt:lpstr>
      <vt:lpstr>SETEMBRO</vt:lpstr>
      <vt:lpstr>SETEMBRO (2)</vt:lpstr>
      <vt:lpstr>FEVEREIRO 2026</vt:lpstr>
      <vt:lpstr>MARÇO 2026</vt:lpstr>
      <vt:lpstr>ABRIL 2026</vt:lpstr>
      <vt:lpstr>MAIO 2026</vt:lpstr>
      <vt:lpstr>JUNHO 2026</vt:lpstr>
      <vt:lpstr>'2020'!Print_Titles</vt:lpstr>
      <vt:lpstr>'2020 - DECIMO TERCEIRO'!Print_Titles</vt:lpstr>
      <vt:lpstr>'2021'!Print_Titles</vt:lpstr>
      <vt:lpstr>'2021 - DECIMO TERCEIRO '!Print_Titles</vt:lpstr>
      <vt:lpstr>'2022'!Print_Titles</vt:lpstr>
      <vt:lpstr>'CRONOGRAMA FÉRIAS'!Print_Titles</vt:lpstr>
      <vt:lpstr>'Registro do cartão de crédi (2)'!Print_Titles</vt:lpstr>
      <vt:lpstr>'Registro do cartão de crédito'!Print_Titles</vt:lpstr>
      <vt:lpstr>'2020'!TítuloDaColuna1</vt:lpstr>
      <vt:lpstr>'2020 - DECIMO TERCEIRO'!TítuloDaColuna1</vt:lpstr>
      <vt:lpstr>'2021'!TítuloDaColuna1</vt:lpstr>
      <vt:lpstr>'2021 - DECIMO TERCEIRO '!TítuloDaColuna1</vt:lpstr>
      <vt:lpstr>'2022'!TítuloDaColuna1</vt:lpstr>
      <vt:lpstr>'CRONOGRAMA FÉRIAS'!TítuloDaColuna1</vt:lpstr>
      <vt:lpstr>'JUNHO 2026'!TítuloDaColuna1</vt:lpstr>
      <vt:lpstr>'MAIO 2026'!TítuloDaColuna1</vt:lpstr>
      <vt:lpstr>'Registro do cartão de crédi (2)'!TítuloDaColuna1</vt:lpstr>
      <vt:lpstr>TítuloDaColuna1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User</cp:lastModifiedBy>
  <cp:revision>6</cp:revision>
  <cp:lastPrinted>2026-07-06T17:39:10Z</cp:lastPrinted>
  <dcterms:created xsi:type="dcterms:W3CDTF">2018-06-29T10:01:04Z</dcterms:created>
  <dcterms:modified xsi:type="dcterms:W3CDTF">2026-07-06T17:50:42Z</dcterms:modified>
</cp:coreProperties>
</file>